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400"/>
  </bookViews>
  <sheets>
    <sheet name="Marks Data" sheetId="1" r:id="rId1"/>
    <sheet name="Subject Inf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<sst xmlns="http://schemas.openxmlformats.org/spreadsheetml/2006/main" count="241" uniqueCount="205">
  <si>
    <t>semester</t>
  </si>
  <si>
    <t>branch</t>
  </si>
  <si>
    <t>IT</t>
  </si>
  <si>
    <t>academic_year</t>
  </si>
  <si>
    <t>2024-25</t>
  </si>
  <si>
    <t>admission_year</t>
  </si>
  <si>
    <t>Instructions:  Fill marks below.  Seat No = Roll Number.  For electives, enter the chosen code in the ELEC CODE column.  See 'Subject Info' and 'Elective Options' sheets for reference.  TOT columns are auto-checked during upload (no formula needed).</t>
  </si>
  <si>
    <t>Sr.
No</t>
  </si>
  <si>
    <t>Seat No
(Roll Number)</t>
  </si>
  <si>
    <t>Name of
Student</t>
  </si>
  <si>
    <t>Engineering Physics-I
(PHY101) [3 cr, Theory]</t>
  </si>
  <si>
    <t>Engineering Chemistry-I
(CHEM101) [3 cr, Theory]</t>
  </si>
  <si>
    <t>Engineering Mathematics-I
(MATH101) [3 cr, Theory]</t>
  </si>
  <si>
    <t>Engineering Mechanics
(MECH101) [3 cr, Theory]</t>
  </si>
  <si>
    <t>Basic Electronic Engineering
(BEE101) [3 cr, Theory]</t>
  </si>
  <si>
    <t>Workshop Practice
(WS101) [1 cr, Lab]</t>
  </si>
  <si>
    <t>Total
Marks</t>
  </si>
  <si>
    <t>SGPI</t>
  </si>
  <si>
    <t>Result</t>
  </si>
  <si>
    <t>CA</t>
  </si>
  <si>
    <t>MSE</t>
  </si>
  <si>
    <t>ESE</t>
  </si>
  <si>
    <t>TOT</t>
  </si>
  <si>
    <t>IA</t>
  </si>
  <si>
    <t>PR/OR</t>
  </si>
  <si>
    <t/>
  </si>
  <si>
    <t>5023152</t>
  </si>
  <si>
    <t>Sharon Shalom</t>
  </si>
  <si>
    <t>5024001</t>
  </si>
  <si>
    <t>Chinmay Menon</t>
  </si>
  <si>
    <t>5024002</t>
  </si>
  <si>
    <t>Bhumi Mehta</t>
  </si>
  <si>
    <t>5024003</t>
  </si>
  <si>
    <t>Varun Banerjee</t>
  </si>
  <si>
    <t>5024004</t>
  </si>
  <si>
    <t>Vanya Kulkarni</t>
  </si>
  <si>
    <t>5024005</t>
  </si>
  <si>
    <t>Farhan Jain</t>
  </si>
  <si>
    <t>5024006</t>
  </si>
  <si>
    <t>Vihaan Shetty</t>
  </si>
  <si>
    <t>5024007</t>
  </si>
  <si>
    <t>Darsh Kumar</t>
  </si>
  <si>
    <t>5024008</t>
  </si>
  <si>
    <t>Sakshi Rao</t>
  </si>
  <si>
    <t>5024009</t>
  </si>
  <si>
    <t>Aditi Agarwal</t>
  </si>
  <si>
    <t>5024010</t>
  </si>
  <si>
    <t>Pratik Nair</t>
  </si>
  <si>
    <t>5024011</t>
  </si>
  <si>
    <t>Rishi Thorat</t>
  </si>
  <si>
    <t>5024012</t>
  </si>
  <si>
    <t>Kavya Ghosh</t>
  </si>
  <si>
    <t>5024013</t>
  </si>
  <si>
    <t>Varun Sen</t>
  </si>
  <si>
    <t>5024014</t>
  </si>
  <si>
    <t>Oviya Banerjee</t>
  </si>
  <si>
    <t>5024015</t>
  </si>
  <si>
    <t>Aditi Rajput</t>
  </si>
  <si>
    <t>5024016</t>
  </si>
  <si>
    <t>Parth Sharma</t>
  </si>
  <si>
    <t>5024017</t>
  </si>
  <si>
    <t>Darsh D'Souza</t>
  </si>
  <si>
    <t>5024018</t>
  </si>
  <si>
    <t>Zoya Pawar</t>
  </si>
  <si>
    <t>5024019</t>
  </si>
  <si>
    <t>Hiral Pandey</t>
  </si>
  <si>
    <t>5024020</t>
  </si>
  <si>
    <t>Mansi Kumar</t>
  </si>
  <si>
    <t>5024021</t>
  </si>
  <si>
    <t>Darsh Deshpande</t>
  </si>
  <si>
    <t>5024022</t>
  </si>
  <si>
    <t>Shubham Kamble</t>
  </si>
  <si>
    <t>5024023</t>
  </si>
  <si>
    <t>Jiya Rodrigues</t>
  </si>
  <si>
    <t>5024024</t>
  </si>
  <si>
    <t>Isha Rodrigues</t>
  </si>
  <si>
    <t>5024025</t>
  </si>
  <si>
    <t>Hemant Agarwal</t>
  </si>
  <si>
    <t>5024026</t>
  </si>
  <si>
    <t>Komal Yadav</t>
  </si>
  <si>
    <t>5024027</t>
  </si>
  <si>
    <t>Ananya Bhise</t>
  </si>
  <si>
    <t>5024028</t>
  </si>
  <si>
    <t>Kavya Phadke</t>
  </si>
  <si>
    <t>5024029</t>
  </si>
  <si>
    <t>Rishi Srivastava</t>
  </si>
  <si>
    <t>5024030</t>
  </si>
  <si>
    <t>Urvi Reddy</t>
  </si>
  <si>
    <t>5024031</t>
  </si>
  <si>
    <t>Naman Roy</t>
  </si>
  <si>
    <t>5024032</t>
  </si>
  <si>
    <t>Anika Mishra</t>
  </si>
  <si>
    <t>5024033</t>
  </si>
  <si>
    <t>Hriday Dutta</t>
  </si>
  <si>
    <t>5024034</t>
  </si>
  <si>
    <t>Yukta Agarwal</t>
  </si>
  <si>
    <t>5024035</t>
  </si>
  <si>
    <t>Moksh Chavan</t>
  </si>
  <si>
    <t>5024036</t>
  </si>
  <si>
    <t>Siddharth Gokhale</t>
  </si>
  <si>
    <t>5024037</t>
  </si>
  <si>
    <t>Yug Yadav</t>
  </si>
  <si>
    <t>5024038</t>
  </si>
  <si>
    <t>Nikita Rathore</t>
  </si>
  <si>
    <t>5024039</t>
  </si>
  <si>
    <t>Piyush Chatterjee</t>
  </si>
  <si>
    <t>5024040</t>
  </si>
  <si>
    <t>Chinmay Das</t>
  </si>
  <si>
    <t>5024041</t>
  </si>
  <si>
    <t>Soham Sawant</t>
  </si>
  <si>
    <t>5024042</t>
  </si>
  <si>
    <t>Varun Bhosale</t>
  </si>
  <si>
    <t>5024043</t>
  </si>
  <si>
    <t>Tejas Apte</t>
  </si>
  <si>
    <t>5024044</t>
  </si>
  <si>
    <t>Aanya Deshpande</t>
  </si>
  <si>
    <t>5024045</t>
  </si>
  <si>
    <t>Navya Jadhav</t>
  </si>
  <si>
    <t>5024046</t>
  </si>
  <si>
    <t>Diya Dutta</t>
  </si>
  <si>
    <t>5024047</t>
  </si>
  <si>
    <t>Kiara D'Souza</t>
  </si>
  <si>
    <t>5024048</t>
  </si>
  <si>
    <t>Tushar Thorat</t>
  </si>
  <si>
    <t>5024049</t>
  </si>
  <si>
    <t>Navya D'Souza</t>
  </si>
  <si>
    <t>5024050</t>
  </si>
  <si>
    <t>Lavanya Phadke</t>
  </si>
  <si>
    <t>5024051</t>
  </si>
  <si>
    <t>Bhavna Pereira</t>
  </si>
  <si>
    <t>Mahika Ghosh</t>
  </si>
  <si>
    <t>5024053</t>
  </si>
  <si>
    <t>Hemant Sawant</t>
  </si>
  <si>
    <t>5024054</t>
  </si>
  <si>
    <t>Devansh Iyer</t>
  </si>
  <si>
    <t>5024055</t>
  </si>
  <si>
    <t>Kavya Verma</t>
  </si>
  <si>
    <t>5024056</t>
  </si>
  <si>
    <t>Shubham Kelkar</t>
  </si>
  <si>
    <t>5024057</t>
  </si>
  <si>
    <t>Zoya Reddy</t>
  </si>
  <si>
    <t>5024058</t>
  </si>
  <si>
    <t>Deepak Menon</t>
  </si>
  <si>
    <t>5024059</t>
  </si>
  <si>
    <t>Sakshi Rathore</t>
  </si>
  <si>
    <t>5024060</t>
  </si>
  <si>
    <t>Farhan Sawant</t>
  </si>
  <si>
    <t>5024061</t>
  </si>
  <si>
    <t>Aarav Pandey</t>
  </si>
  <si>
    <t>5024062</t>
  </si>
  <si>
    <t>Samar Salunkhe</t>
  </si>
  <si>
    <t>5024063</t>
  </si>
  <si>
    <t>Dev Kulkarni</t>
  </si>
  <si>
    <t>5024064</t>
  </si>
  <si>
    <t>Chirag Hegde</t>
  </si>
  <si>
    <t>5024065</t>
  </si>
  <si>
    <t>Shreyas Patel</t>
  </si>
  <si>
    <t>5024066</t>
  </si>
  <si>
    <t>Aanya Dhage</t>
  </si>
  <si>
    <t>5024067</t>
  </si>
  <si>
    <t>Swati Bhise</t>
  </si>
  <si>
    <t>5024068</t>
  </si>
  <si>
    <t>Rohan Kamath</t>
  </si>
  <si>
    <t>5024069</t>
  </si>
  <si>
    <t>Zara Rao</t>
  </si>
  <si>
    <t>5024070</t>
  </si>
  <si>
    <t>Dev Ghosh</t>
  </si>
  <si>
    <t>5024071</t>
  </si>
  <si>
    <t>Tanvi Gokhale</t>
  </si>
  <si>
    <t>5024072</t>
  </si>
  <si>
    <t>Juhi Pawar</t>
  </si>
  <si>
    <t>Emily Rodrigues</t>
  </si>
  <si>
    <t>__COLUMN_MAP__</t>
  </si>
  <si>
    <t>[{"col": 4, "subject_code": "PHY101", "component": "CA", "max": 20, "elective_group": ""}, {"col": 5, "subject_code": "PHY101", "component": "MSE", "max": 30, "elective_group": ""}, {"col": 6, "subject_code": "PHY101", "component": "ESE", "max": 50, "elective_group": ""}, {"col": 7, "subject_code": "PHY101", "component": "TOT", "max": 100, "elective_group": ""}, {"col": 8, "subject_code": "CHEM101", "component": "CA", "max": 20, "elective_group": ""}, {"col": 9, "subject_code": "CHEM101", "component": "MSE", "max": 30, "elective_group": ""}, {"col": 10, "subject_code": "CHEM101", "component": "ESE", "max": 50, "elective_group": ""}, {"col": 11, "subject_code": "CHEM101", "component": "TOT", "max": 100, "elective_group": ""}, {"col": 12, "subject_code": "MATH101", "component": "CA", "max": 20, "elective_group": ""}, {"col": 13, "subject_code": "MATH101", "component": "MSE", "max": 30, "elective_group": ""}, {"col": 14, "subject_code": "MATH101", "component": "ESE", "max": 50, "elective_group": ""}, {"col": 15, "subject_code": "MATH101", "component": "TOT", "max": 100, "elective_group": ""}, {"col": 16, "subject_code": "MECH101", "component": "CA", "max": 20, "elective_group": ""}, {"col": 17, "subject_code": "MECH101", "component": "MSE", "max": 30, "elective_group": ""}, {"col": 18, "subject_code": "MECH101", "component": "ESE", "max": 50, "elective_group": ""}, {"col": 19, "subject_code": "MECH101", "component": "TOT", "max": 100, "elective_group": ""}, {"col": 20, "subject_code": "BEE101", "component": "CA", "max": 20, "elective_group": ""}, {"col": 21, "subject_code": "BEE101", "component": "MSE", "max": 30, "elective_group": ""}, {"col": 22, "subject_code": "BEE101", "component": "ESE", "max": 50, "elective_group": ""}, {"col": 23, "subject_code": "BEE101", "component": "TOT", "max": 100, "elective_group": ""}, {"col": 24, "subject_code": "WS101", "component": "IA", "max": 25, "elective_group": ""}, {"col": 25, "subject_code": "WS101", "component": "PR", "max": 25, "elective_group": ""}, {"col": 26, "subject_code": "WS101", "component": "TOT", "max": 50, "elective_group": ""}]</t>
  </si>
  <si>
    <t>__STUDENTS_META__</t>
  </si>
  <si>
    <t>{"total_students": 73, "students_with_marks": 73, "students_without_marks": 0, "branch": "IT", "admission_year": 2024, "semester": 1, "exported_at": "2026-03-27T19:51:32.456455"}</t>
  </si>
  <si>
    <t>Code</t>
  </si>
  <si>
    <t>Name</t>
  </si>
  <si>
    <t>Credits</t>
  </si>
  <si>
    <t>Type</t>
  </si>
  <si>
    <t>Category</t>
  </si>
  <si>
    <t>Components</t>
  </si>
  <si>
    <t>Internal Max</t>
  </si>
  <si>
    <t>External Max</t>
  </si>
  <si>
    <t>Total Max</t>
  </si>
  <si>
    <t>Elective Group</t>
  </si>
  <si>
    <t>PHY101</t>
  </si>
  <si>
    <t>Engineering Physics-I</t>
  </si>
  <si>
    <t>BSC</t>
  </si>
  <si>
    <t>Theory</t>
  </si>
  <si>
    <t>CA(20) + MSE(30) + ESE(50)</t>
  </si>
  <si>
    <t>CHEM101</t>
  </si>
  <si>
    <t>Engineering Chemistry-I</t>
  </si>
  <si>
    <t>MATH101</t>
  </si>
  <si>
    <t>Engineering Mathematics-I</t>
  </si>
  <si>
    <t>MECH101</t>
  </si>
  <si>
    <t>Engineering Mechanics</t>
  </si>
  <si>
    <t>ESC</t>
  </si>
  <si>
    <t>BEE101</t>
  </si>
  <si>
    <t>Basic Electronic Engineering</t>
  </si>
  <si>
    <t>WS101</t>
  </si>
  <si>
    <t>Workshop Practice</t>
  </si>
  <si>
    <t>LBC</t>
  </si>
  <si>
    <t>Lab</t>
  </si>
  <si>
    <t>IA(25) + PR/OR(25)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</si>
</sst>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9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11"/>
      <name val="Calibri"/>
      <charset val="134"/>
      <scheme val="minor"/>
    </font>
    <font>
      <i/>
      <sz val="10"/>
      <color rgb="FF555555"/>
      <name val="Calibri"/>
      <charset val="134"/>
      <scheme val="minor"/>
    </font>
    <font>
      <b/>
      <sz val="10"/>
      <color rgb="FFFFFFFF"/>
      <name val="Calibri"/>
      <charset val="134"/>
      <scheme val="minor"/>
    </font>
    <font>
      <b/>
      <sz val="10"/>
      <name val="Calibri"/>
      <charset val="134"/>
      <scheme val="minor"/>
    </font>
    <font>
      <i/>
      <sz val="9"/>
      <color rgb="FF666666"/>
      <name val="Calibri"/>
      <charset val="134"/>
      <scheme val="minor"/>
    </font>
    <font>
      <b/>
      <sz val="11"/>
      <color rgb="FF2F5496"/>
      <name val="Calibri"/>
      <charset val="134"/>
      <scheme val="minor"/>
    </font>
    <font>
      <b/>
      <sz val="11"/>
      <color rgb="FF0066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8" fontId="9" fillId="0" borderId="0" applyFont="0" applyFill="0" applyBorder="0" applyAlignment="0" applyProtection="0">
      <alignment vertical="center"/>
    </xf>
    <xf numFmtId="179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2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8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4" borderId="8" applyNumberFormat="0" applyAlignment="0" applyProtection="0">
      <alignment vertical="center"/>
    </xf>
    <xf numFmtId="0" fontId="21" fillId="15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3" borderId="0" xfId="0" applyFont="1" applyFill="1"/>
    <xf numFmtId="0" fontId="3" fillId="0" borderId="0" xfId="0" applyFont="1"/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" fillId="2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9" borderId="1" xfId="0" applyFill="1" applyBorder="1"/>
    <xf numFmtId="0" fontId="6" fillId="9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8" fillId="11" borderId="1" xfId="0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01"/>
  <sheetViews>
    <sheetView tabSelected="1" workbookViewId="0">
      <pane xSplit="3" ySplit="6" topLeftCell="Y76" activePane="bottomRight" state="frozen"/>
      <selection/>
      <selection pane="topRight"/>
      <selection pane="bottomLeft"/>
      <selection pane="bottomRight" activeCell="R87" sqref="R87"/>
    </sheetView>
  </sheetViews>
  <sheetFormatPr defaultColWidth="9" defaultRowHeight="14.5"/>
  <cols>
    <col min="1" max="1" width="6" customWidth="1"/>
    <col min="2" max="2" width="20" customWidth="1"/>
    <col min="3" max="3" width="30" customWidth="1"/>
    <col min="4" max="26" width="8" customWidth="1"/>
    <col min="27" max="29" width="10" customWidth="1"/>
  </cols>
  <sheetData>
    <row r="1" spans="1:29">
      <c r="A1" s="3" t="s">
        <v>0</v>
      </c>
      <c r="B1" s="3">
        <v>1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>
        <v>2024</v>
      </c>
    </row>
    <row r="2" spans="1:29">
      <c r="A2" s="4" t="s">
        <v>6</v>
      </c>
    </row>
    <row r="4" spans="1:29">
      <c r="A4" s="5" t="s">
        <v>7</v>
      </c>
      <c r="B4" s="5" t="s">
        <v>8</v>
      </c>
      <c r="C4" s="5" t="s">
        <v>9</v>
      </c>
      <c r="D4" s="6" t="s">
        <v>10</v>
      </c>
      <c r="E4" s="7"/>
      <c r="F4" s="7"/>
      <c r="G4" s="8"/>
      <c r="H4" s="6" t="s">
        <v>11</v>
      </c>
      <c r="I4" s="7"/>
      <c r="J4" s="7"/>
      <c r="K4" s="8"/>
      <c r="L4" s="6" t="s">
        <v>12</v>
      </c>
      <c r="M4" s="7"/>
      <c r="N4" s="7"/>
      <c r="O4" s="8"/>
      <c r="P4" s="9" t="s">
        <v>13</v>
      </c>
      <c r="Q4" s="7"/>
      <c r="R4" s="7"/>
      <c r="S4" s="8"/>
      <c r="T4" s="9" t="s">
        <v>14</v>
      </c>
      <c r="U4" s="7"/>
      <c r="V4" s="7"/>
      <c r="W4" s="8"/>
      <c r="X4" s="10" t="s">
        <v>15</v>
      </c>
      <c r="Y4" s="7"/>
      <c r="Z4" s="8"/>
      <c r="AA4" s="11" t="s">
        <v>16</v>
      </c>
      <c r="AB4" s="11" t="s">
        <v>17</v>
      </c>
      <c r="AC4" s="11" t="s">
        <v>18</v>
      </c>
    </row>
    <row r="5" spans="1:29">
      <c r="A5" s="12"/>
      <c r="B5" s="12"/>
      <c r="C5" s="12"/>
      <c r="D5" s="13" t="s">
        <v>19</v>
      </c>
      <c r="E5" s="13" t="s">
        <v>20</v>
      </c>
      <c r="F5" s="13" t="s">
        <v>21</v>
      </c>
      <c r="G5" s="14" t="s">
        <v>22</v>
      </c>
      <c r="H5" s="13" t="s">
        <v>19</v>
      </c>
      <c r="I5" s="13" t="s">
        <v>20</v>
      </c>
      <c r="J5" s="13" t="s">
        <v>21</v>
      </c>
      <c r="K5" s="14" t="s">
        <v>22</v>
      </c>
      <c r="L5" s="13" t="s">
        <v>19</v>
      </c>
      <c r="M5" s="13" t="s">
        <v>20</v>
      </c>
      <c r="N5" s="13" t="s">
        <v>21</v>
      </c>
      <c r="O5" s="14" t="s">
        <v>22</v>
      </c>
      <c r="P5" s="13" t="s">
        <v>19</v>
      </c>
      <c r="Q5" s="13" t="s">
        <v>20</v>
      </c>
      <c r="R5" s="13" t="s">
        <v>21</v>
      </c>
      <c r="S5" s="14" t="s">
        <v>22</v>
      </c>
      <c r="T5" s="13" t="s">
        <v>19</v>
      </c>
      <c r="U5" s="13" t="s">
        <v>20</v>
      </c>
      <c r="V5" s="13" t="s">
        <v>21</v>
      </c>
      <c r="W5" s="14" t="s">
        <v>22</v>
      </c>
      <c r="X5" s="13" t="s">
        <v>23</v>
      </c>
      <c r="Y5" s="13" t="s">
        <v>24</v>
      </c>
      <c r="Z5" s="14" t="s">
        <v>22</v>
      </c>
      <c r="AA5" s="12"/>
      <c r="AB5" s="12"/>
      <c r="AC5" s="12"/>
    </row>
    <row r="6" spans="1:29">
      <c r="A6" s="15" t="s">
        <v>25</v>
      </c>
      <c r="B6" s="15" t="s">
        <v>25</v>
      </c>
      <c r="C6" s="15" t="s">
        <v>25</v>
      </c>
      <c r="D6" s="16">
        <v>20</v>
      </c>
      <c r="E6" s="16">
        <v>30</v>
      </c>
      <c r="F6" s="16">
        <v>50</v>
      </c>
      <c r="G6" s="16">
        <v>100</v>
      </c>
      <c r="H6" s="16">
        <v>20</v>
      </c>
      <c r="I6" s="16">
        <v>30</v>
      </c>
      <c r="J6" s="16">
        <v>50</v>
      </c>
      <c r="K6" s="16">
        <v>100</v>
      </c>
      <c r="L6" s="16">
        <v>20</v>
      </c>
      <c r="M6" s="16">
        <v>30</v>
      </c>
      <c r="N6" s="16">
        <v>50</v>
      </c>
      <c r="O6" s="16">
        <v>100</v>
      </c>
      <c r="P6" s="16">
        <v>20</v>
      </c>
      <c r="Q6" s="16">
        <v>30</v>
      </c>
      <c r="R6" s="16">
        <v>50</v>
      </c>
      <c r="S6" s="16">
        <v>100</v>
      </c>
      <c r="T6" s="16">
        <v>20</v>
      </c>
      <c r="U6" s="16">
        <v>30</v>
      </c>
      <c r="V6" s="16">
        <v>50</v>
      </c>
      <c r="W6" s="16">
        <v>100</v>
      </c>
      <c r="X6" s="16">
        <v>25</v>
      </c>
      <c r="Y6" s="16">
        <v>25</v>
      </c>
      <c r="Z6" s="16">
        <v>50</v>
      </c>
    </row>
    <row r="7" spans="1:29">
      <c r="A7" s="17">
        <v>1</v>
      </c>
      <c r="B7" s="18" t="s">
        <v>26</v>
      </c>
      <c r="C7" s="19" t="s">
        <v>27</v>
      </c>
      <c r="D7" s="20">
        <v>14.9</v>
      </c>
      <c r="E7" s="20">
        <v>15.3</v>
      </c>
      <c r="F7" s="20">
        <v>25.6</v>
      </c>
      <c r="G7" s="21">
        <v>55.8</v>
      </c>
      <c r="H7" s="20">
        <v>11.5</v>
      </c>
      <c r="I7" s="20">
        <v>12.7</v>
      </c>
      <c r="J7" s="20">
        <v>21.1</v>
      </c>
      <c r="K7" s="21">
        <v>45.3</v>
      </c>
      <c r="L7" s="20">
        <v>14.1</v>
      </c>
      <c r="M7" s="20">
        <f ca="1">RANDBETWEEN(1,30)</f>
        <v>11</v>
      </c>
      <c r="N7" s="20">
        <v>21.2</v>
      </c>
      <c r="O7" s="21">
        <v>48</v>
      </c>
      <c r="P7" s="20">
        <f ca="1">RANDBETWEEN(1,20)</f>
        <v>4</v>
      </c>
      <c r="Q7" s="20">
        <v>21</v>
      </c>
      <c r="R7" s="20">
        <v>35.1</v>
      </c>
      <c r="S7" s="21">
        <v>66</v>
      </c>
      <c r="T7" s="20">
        <v>12.7</v>
      </c>
      <c r="U7" s="20">
        <v>14.3</v>
      </c>
      <c r="V7" s="20">
        <v>23.8</v>
      </c>
      <c r="W7" s="21">
        <v>50.8</v>
      </c>
      <c r="X7" s="20">
        <v>10.4</v>
      </c>
      <c r="Y7" s="20">
        <v>14.4</v>
      </c>
      <c r="Z7" s="21">
        <v>24.8</v>
      </c>
      <c r="AA7" s="20">
        <f>G7+K7+O7+S7+W7+Z7</f>
        <v>290.7</v>
      </c>
      <c r="AB7" s="22">
        <f>((G7/100*10*3)+(K7/100*10*3)+(O7/100*10*3)+(S7/100*10*3)+(W7/100*10*3)+(Z7/50*10*1))/16</f>
        <v>5.295625</v>
      </c>
      <c r="AC7" s="23" t="str">
        <f>IF(OR(G7&lt;40,K7&lt;40,O7&lt;40,S7&lt;40,W7&lt;40,Z7&lt;20),"FAIL","PASS")</f>
        <v>PASS</v>
      </c>
    </row>
    <row r="8" spans="1:29">
      <c r="A8" s="17">
        <v>2</v>
      </c>
      <c r="B8" s="18" t="s">
        <v>28</v>
      </c>
      <c r="C8" s="19" t="s">
        <v>29</v>
      </c>
      <c r="D8" s="20">
        <f ca="1">RANDBETWEEN(1,20)</f>
        <v>2</v>
      </c>
      <c r="E8" s="20">
        <v>19.2</v>
      </c>
      <c r="F8" s="20">
        <v>31.9</v>
      </c>
      <c r="G8" s="21">
        <v>73</v>
      </c>
      <c r="H8" s="20">
        <f ca="1">RANDBETWEEN(1,20)</f>
        <v>16</v>
      </c>
      <c r="I8" s="20">
        <v>17.3</v>
      </c>
      <c r="J8" s="20">
        <v>28.9</v>
      </c>
      <c r="K8" s="21">
        <v>66</v>
      </c>
      <c r="L8" s="20">
        <f ca="1">RANDBETWEEN(1,20)</f>
        <v>8</v>
      </c>
      <c r="M8" s="20">
        <f ca="1" t="shared" ref="M8:M80" si="0">RANDBETWEEN(1,30)</f>
        <v>12</v>
      </c>
      <c r="N8" s="20">
        <v>36.3</v>
      </c>
      <c r="O8" s="21">
        <v>83</v>
      </c>
      <c r="P8" s="20">
        <f ca="1" t="shared" ref="P8:P80" si="1">RANDBETWEEN(1,20)</f>
        <v>4</v>
      </c>
      <c r="Q8" s="20">
        <v>17.1</v>
      </c>
      <c r="R8" s="20">
        <v>28.4</v>
      </c>
      <c r="S8" s="21">
        <v>65</v>
      </c>
      <c r="T8" s="20">
        <f ca="1">RANDBETWEEN(1,20)</f>
        <v>8</v>
      </c>
      <c r="U8" s="20">
        <f ca="1">RANDBETWEEN(1,30)</f>
        <v>16</v>
      </c>
      <c r="V8" s="20">
        <f ca="1">RANDBETWEEN(1,50)</f>
        <v>33</v>
      </c>
      <c r="W8" s="20">
        <f ca="1">T8+U8+V8</f>
        <v>57</v>
      </c>
      <c r="X8" s="20">
        <f ca="1">RANDBETWEEN(1,25)</f>
        <v>24</v>
      </c>
      <c r="Y8" s="20">
        <f ca="1">RANDBETWEEN(1,25)</f>
        <v>5</v>
      </c>
      <c r="Z8" s="20">
        <f ca="1">RANDBETWEEN(1,50)</f>
        <v>5</v>
      </c>
      <c r="AA8" s="20">
        <f ca="1" t="shared" ref="AA8:AA39" si="2">G8+K8+O8+S8+W8+Z8</f>
        <v>349</v>
      </c>
      <c r="AB8" s="22">
        <f ca="1" t="shared" ref="AB8:AB39" si="3">((G8/100*10*3)+(K8/100*10*3)+(O8/100*10*3)+(S8/100*10*3)+(W8/100*10*3)+(Z8/50*10*1))/16</f>
        <v>6.5125</v>
      </c>
      <c r="AC8" s="23" t="str">
        <f ca="1" t="shared" ref="AC8:AC39" si="4">IF(OR(G8&lt;40,K8&lt;40,O8&lt;40,S8&lt;40,W8&lt;40,Z8&lt;20),"FAIL","PASS")</f>
        <v>FAIL</v>
      </c>
    </row>
    <row r="9" spans="1:29">
      <c r="A9" s="17">
        <v>3</v>
      </c>
      <c r="B9" s="18" t="s">
        <v>30</v>
      </c>
      <c r="C9" s="19" t="s">
        <v>31</v>
      </c>
      <c r="D9" s="20">
        <f ca="1" t="shared" ref="D9:D80" si="5">RANDBETWEEN(1,20)</f>
        <v>6</v>
      </c>
      <c r="E9" s="20">
        <v>12.9</v>
      </c>
      <c r="F9" s="20">
        <v>21.4</v>
      </c>
      <c r="G9" s="21">
        <v>49</v>
      </c>
      <c r="H9" s="20">
        <f ca="1" t="shared" ref="H9:H80" si="6">RANDBETWEEN(1,20)</f>
        <v>19</v>
      </c>
      <c r="I9" s="20">
        <v>16.3</v>
      </c>
      <c r="J9" s="20">
        <v>27.1</v>
      </c>
      <c r="K9" s="21">
        <v>62</v>
      </c>
      <c r="L9" s="20">
        <f ca="1" t="shared" ref="L9:L80" si="7">RANDBETWEEN(1,20)</f>
        <v>15</v>
      </c>
      <c r="M9" s="20">
        <f ca="1" t="shared" si="0"/>
        <v>17</v>
      </c>
      <c r="N9" s="20">
        <v>24.9</v>
      </c>
      <c r="O9" s="21">
        <v>57</v>
      </c>
      <c r="P9" s="20">
        <f ca="1" t="shared" si="1"/>
        <v>19</v>
      </c>
      <c r="Q9" s="20">
        <v>11.3</v>
      </c>
      <c r="R9" s="20">
        <v>18.8</v>
      </c>
      <c r="S9" s="21">
        <v>43</v>
      </c>
      <c r="T9" s="20">
        <f ca="1" t="shared" ref="T9:T79" si="8">RANDBETWEEN(1,20)</f>
        <v>8</v>
      </c>
      <c r="U9" s="20">
        <f ca="1" t="shared" ref="U9:U79" si="9">RANDBETWEEN(1,30)</f>
        <v>9</v>
      </c>
      <c r="V9" s="20">
        <f ca="1" t="shared" ref="V9:V79" si="10">RANDBETWEEN(1,50)</f>
        <v>32</v>
      </c>
      <c r="W9" s="20">
        <f ca="1" t="shared" ref="W9:W40" si="11">T9+U9+V9</f>
        <v>49</v>
      </c>
      <c r="X9" s="20">
        <f ca="1" t="shared" ref="X9:X79" si="12">RANDBETWEEN(1,25)</f>
        <v>13</v>
      </c>
      <c r="Y9" s="20">
        <f ca="1" t="shared" ref="Y9:Y79" si="13">RANDBETWEEN(1,25)</f>
        <v>9</v>
      </c>
      <c r="Z9" s="20">
        <f ca="1" t="shared" ref="Z9:Z79" si="14">RANDBETWEEN(1,50)</f>
        <v>31</v>
      </c>
      <c r="AA9" s="20">
        <f ca="1" t="shared" si="2"/>
        <v>291</v>
      </c>
      <c r="AB9" s="22">
        <f ca="1" t="shared" si="3"/>
        <v>5.2625</v>
      </c>
      <c r="AC9" s="23" t="str">
        <f ca="1" t="shared" si="4"/>
        <v>PASS</v>
      </c>
    </row>
    <row r="10" spans="1:29">
      <c r="A10" s="17">
        <v>4</v>
      </c>
      <c r="B10" s="18" t="s">
        <v>32</v>
      </c>
      <c r="C10" s="19" t="s">
        <v>33</v>
      </c>
      <c r="D10" s="20">
        <f ca="1" t="shared" si="5"/>
        <v>13</v>
      </c>
      <c r="E10" s="20">
        <v>23.6</v>
      </c>
      <c r="F10" s="20">
        <v>39.4</v>
      </c>
      <c r="G10" s="21">
        <v>90</v>
      </c>
      <c r="H10" s="20">
        <f ca="1" t="shared" si="6"/>
        <v>12</v>
      </c>
      <c r="I10" s="20">
        <v>23.6</v>
      </c>
      <c r="J10" s="20">
        <v>39.4</v>
      </c>
      <c r="K10" s="21">
        <v>90</v>
      </c>
      <c r="L10" s="20">
        <f ca="1" t="shared" si="7"/>
        <v>20</v>
      </c>
      <c r="M10" s="20">
        <f ca="1" t="shared" si="0"/>
        <v>27</v>
      </c>
      <c r="N10" s="20">
        <v>24.9</v>
      </c>
      <c r="O10" s="21">
        <v>57</v>
      </c>
      <c r="P10" s="20">
        <f ca="1" t="shared" si="1"/>
        <v>14</v>
      </c>
      <c r="Q10" s="20">
        <v>17.1</v>
      </c>
      <c r="R10" s="20">
        <v>28.4</v>
      </c>
      <c r="S10" s="21">
        <v>65</v>
      </c>
      <c r="T10" s="20">
        <f ca="1" t="shared" si="8"/>
        <v>3</v>
      </c>
      <c r="U10" s="20">
        <f ca="1" t="shared" si="9"/>
        <v>7</v>
      </c>
      <c r="V10" s="20">
        <f ca="1" t="shared" si="10"/>
        <v>41</v>
      </c>
      <c r="W10" s="20">
        <f ca="1" t="shared" si="11"/>
        <v>51</v>
      </c>
      <c r="X10" s="20">
        <f ca="1" t="shared" si="12"/>
        <v>19</v>
      </c>
      <c r="Y10" s="20">
        <f ca="1" t="shared" si="13"/>
        <v>18</v>
      </c>
      <c r="Z10" s="20">
        <f ca="1" t="shared" si="14"/>
        <v>12</v>
      </c>
      <c r="AA10" s="20">
        <f ca="1" t="shared" si="2"/>
        <v>365</v>
      </c>
      <c r="AB10" s="22">
        <f ca="1" t="shared" si="3"/>
        <v>6.76875</v>
      </c>
      <c r="AC10" s="23" t="str">
        <f ca="1" t="shared" si="4"/>
        <v>FAIL</v>
      </c>
    </row>
    <row r="11" spans="1:29">
      <c r="A11" s="17">
        <v>5</v>
      </c>
      <c r="B11" s="18" t="s">
        <v>34</v>
      </c>
      <c r="C11" s="19" t="s">
        <v>35</v>
      </c>
      <c r="D11" s="20">
        <f ca="1" t="shared" si="5"/>
        <v>17</v>
      </c>
      <c r="E11" s="20">
        <v>17.6</v>
      </c>
      <c r="F11" s="20">
        <v>29.3</v>
      </c>
      <c r="G11" s="21">
        <v>67</v>
      </c>
      <c r="H11" s="20">
        <f ca="1" t="shared" si="6"/>
        <v>7</v>
      </c>
      <c r="I11" s="20">
        <v>21.5</v>
      </c>
      <c r="J11" s="20">
        <v>35.9</v>
      </c>
      <c r="K11" s="21">
        <v>82</v>
      </c>
      <c r="L11" s="20">
        <f ca="1" t="shared" si="7"/>
        <v>3</v>
      </c>
      <c r="M11" s="20">
        <f ca="1" t="shared" si="0"/>
        <v>28</v>
      </c>
      <c r="N11" s="20">
        <v>26.2</v>
      </c>
      <c r="O11" s="21">
        <v>60</v>
      </c>
      <c r="P11" s="20">
        <f ca="1" t="shared" si="1"/>
        <v>8</v>
      </c>
      <c r="Q11" s="20">
        <v>23.4</v>
      </c>
      <c r="R11" s="20">
        <v>38.9</v>
      </c>
      <c r="S11" s="21">
        <v>89</v>
      </c>
      <c r="T11" s="20">
        <f ca="1" t="shared" si="8"/>
        <v>18</v>
      </c>
      <c r="U11" s="20">
        <f ca="1" t="shared" si="9"/>
        <v>6</v>
      </c>
      <c r="V11" s="20">
        <f ca="1" t="shared" si="10"/>
        <v>11</v>
      </c>
      <c r="W11" s="20">
        <f ca="1" t="shared" si="11"/>
        <v>35</v>
      </c>
      <c r="X11" s="20">
        <f ca="1" t="shared" si="12"/>
        <v>11</v>
      </c>
      <c r="Y11" s="20">
        <f ca="1" t="shared" si="13"/>
        <v>4</v>
      </c>
      <c r="Z11" s="20">
        <f ca="1" t="shared" si="14"/>
        <v>1</v>
      </c>
      <c r="AA11" s="20">
        <f ca="1" t="shared" si="2"/>
        <v>334</v>
      </c>
      <c r="AB11" s="22">
        <f ca="1" t="shared" si="3"/>
        <v>6.25625</v>
      </c>
      <c r="AC11" s="23" t="str">
        <f ca="1" t="shared" si="4"/>
        <v>FAIL</v>
      </c>
    </row>
    <row r="12" spans="1:29">
      <c r="A12" s="17">
        <v>6</v>
      </c>
      <c r="B12" s="18" t="s">
        <v>36</v>
      </c>
      <c r="C12" s="19" t="s">
        <v>37</v>
      </c>
      <c r="D12" s="20">
        <f ca="1" t="shared" si="5"/>
        <v>19</v>
      </c>
      <c r="E12" s="20">
        <v>16</v>
      </c>
      <c r="F12" s="20">
        <v>26.7</v>
      </c>
      <c r="G12" s="21">
        <v>61</v>
      </c>
      <c r="H12" s="20">
        <f ca="1" t="shared" si="6"/>
        <v>13</v>
      </c>
      <c r="I12" s="20">
        <v>12.3</v>
      </c>
      <c r="J12" s="20">
        <v>20.6</v>
      </c>
      <c r="K12" s="21">
        <v>47</v>
      </c>
      <c r="L12" s="20">
        <f ca="1" t="shared" si="7"/>
        <v>6</v>
      </c>
      <c r="M12" s="20">
        <f ca="1" t="shared" si="0"/>
        <v>18</v>
      </c>
      <c r="N12" s="20">
        <v>27.6</v>
      </c>
      <c r="O12" s="21">
        <v>63</v>
      </c>
      <c r="P12" s="20">
        <f ca="1" t="shared" si="1"/>
        <v>5</v>
      </c>
      <c r="Q12" s="20">
        <v>14.4</v>
      </c>
      <c r="R12" s="20">
        <v>24.1</v>
      </c>
      <c r="S12" s="21">
        <v>55</v>
      </c>
      <c r="T12" s="20">
        <f ca="1" t="shared" si="8"/>
        <v>15</v>
      </c>
      <c r="U12" s="20">
        <f ca="1" t="shared" si="9"/>
        <v>9</v>
      </c>
      <c r="V12" s="20">
        <f ca="1" t="shared" si="10"/>
        <v>42</v>
      </c>
      <c r="W12" s="20">
        <f ca="1" t="shared" si="11"/>
        <v>66</v>
      </c>
      <c r="X12" s="20">
        <f ca="1" t="shared" si="12"/>
        <v>4</v>
      </c>
      <c r="Y12" s="20">
        <f ca="1" t="shared" si="13"/>
        <v>23</v>
      </c>
      <c r="Z12" s="20">
        <f ca="1" t="shared" si="14"/>
        <v>48</v>
      </c>
      <c r="AA12" s="20">
        <f ca="1" t="shared" si="2"/>
        <v>340</v>
      </c>
      <c r="AB12" s="22">
        <f ca="1" t="shared" si="3"/>
        <v>6.075</v>
      </c>
      <c r="AC12" s="23" t="str">
        <f ca="1" t="shared" si="4"/>
        <v>PASS</v>
      </c>
    </row>
    <row r="13" spans="1:29">
      <c r="A13" s="17">
        <v>7</v>
      </c>
      <c r="B13" s="18" t="s">
        <v>38</v>
      </c>
      <c r="C13" s="19" t="s">
        <v>39</v>
      </c>
      <c r="D13" s="20">
        <f ca="1" t="shared" si="5"/>
        <v>4</v>
      </c>
      <c r="E13" s="20">
        <v>20.7</v>
      </c>
      <c r="F13" s="20">
        <v>34.6</v>
      </c>
      <c r="G13" s="21">
        <v>79</v>
      </c>
      <c r="H13" s="20">
        <f ca="1" t="shared" si="6"/>
        <v>4</v>
      </c>
      <c r="I13" s="20">
        <v>25.2</v>
      </c>
      <c r="J13" s="20">
        <v>42</v>
      </c>
      <c r="K13" s="21">
        <v>96</v>
      </c>
      <c r="L13" s="20">
        <f ca="1" t="shared" si="7"/>
        <v>11</v>
      </c>
      <c r="M13" s="20">
        <f ca="1" t="shared" si="0"/>
        <v>1</v>
      </c>
      <c r="N13" s="20">
        <v>40.2</v>
      </c>
      <c r="O13" s="21">
        <v>92</v>
      </c>
      <c r="P13" s="20">
        <f ca="1" t="shared" si="1"/>
        <v>11</v>
      </c>
      <c r="Q13" s="20">
        <v>19.4</v>
      </c>
      <c r="R13" s="20">
        <v>32.4</v>
      </c>
      <c r="S13" s="21">
        <v>74</v>
      </c>
      <c r="T13" s="20">
        <f ca="1" t="shared" si="8"/>
        <v>10</v>
      </c>
      <c r="U13" s="20">
        <f ca="1" t="shared" si="9"/>
        <v>25</v>
      </c>
      <c r="V13" s="20">
        <f ca="1" t="shared" si="10"/>
        <v>46</v>
      </c>
      <c r="W13" s="20">
        <f ca="1" t="shared" si="11"/>
        <v>81</v>
      </c>
      <c r="X13" s="20">
        <f ca="1" t="shared" si="12"/>
        <v>12</v>
      </c>
      <c r="Y13" s="20">
        <f ca="1" t="shared" si="13"/>
        <v>20</v>
      </c>
      <c r="Z13" s="20">
        <f ca="1" t="shared" si="14"/>
        <v>32</v>
      </c>
      <c r="AA13" s="20">
        <f ca="1" t="shared" si="2"/>
        <v>454</v>
      </c>
      <c r="AB13" s="22">
        <f ca="1" t="shared" si="3"/>
        <v>8.3125</v>
      </c>
      <c r="AC13" s="23" t="str">
        <f ca="1" t="shared" si="4"/>
        <v>PASS</v>
      </c>
    </row>
    <row r="14" spans="1:29">
      <c r="A14" s="17">
        <v>8</v>
      </c>
      <c r="B14" s="18" t="s">
        <v>40</v>
      </c>
      <c r="C14" s="19" t="s">
        <v>41</v>
      </c>
      <c r="D14" s="20">
        <f ca="1" t="shared" si="5"/>
        <v>3</v>
      </c>
      <c r="E14" s="20">
        <v>16.3</v>
      </c>
      <c r="F14" s="20">
        <v>27.1</v>
      </c>
      <c r="G14" s="21">
        <v>62</v>
      </c>
      <c r="H14" s="20">
        <f ca="1" t="shared" si="6"/>
        <v>12</v>
      </c>
      <c r="I14" s="20">
        <v>20.2</v>
      </c>
      <c r="J14" s="20">
        <v>33.7</v>
      </c>
      <c r="K14" s="21">
        <v>77</v>
      </c>
      <c r="L14" s="20">
        <f ca="1" t="shared" si="7"/>
        <v>1</v>
      </c>
      <c r="M14" s="20">
        <f ca="1" t="shared" si="0"/>
        <v>3</v>
      </c>
      <c r="N14" s="20">
        <v>28.4</v>
      </c>
      <c r="O14" s="21">
        <v>65</v>
      </c>
      <c r="P14" s="20">
        <f ca="1" t="shared" si="1"/>
        <v>19</v>
      </c>
      <c r="Q14" s="20">
        <v>14.4</v>
      </c>
      <c r="R14" s="20">
        <v>24.1</v>
      </c>
      <c r="S14" s="21">
        <v>55</v>
      </c>
      <c r="T14" s="20">
        <f ca="1" t="shared" si="8"/>
        <v>6</v>
      </c>
      <c r="U14" s="20">
        <f ca="1" t="shared" si="9"/>
        <v>27</v>
      </c>
      <c r="V14" s="20">
        <f ca="1" t="shared" si="10"/>
        <v>15</v>
      </c>
      <c r="W14" s="20">
        <f ca="1" t="shared" si="11"/>
        <v>48</v>
      </c>
      <c r="X14" s="20">
        <f ca="1" t="shared" si="12"/>
        <v>16</v>
      </c>
      <c r="Y14" s="20">
        <f ca="1" t="shared" si="13"/>
        <v>10</v>
      </c>
      <c r="Z14" s="20">
        <f ca="1" t="shared" si="14"/>
        <v>43</v>
      </c>
      <c r="AA14" s="20">
        <f ca="1" t="shared" si="2"/>
        <v>350</v>
      </c>
      <c r="AB14" s="22">
        <f ca="1" t="shared" si="3"/>
        <v>6.29375</v>
      </c>
      <c r="AC14" s="23" t="str">
        <f ca="1" t="shared" si="4"/>
        <v>PASS</v>
      </c>
    </row>
    <row r="15" spans="1:29">
      <c r="A15" s="17">
        <v>9</v>
      </c>
      <c r="B15" s="18" t="s">
        <v>42</v>
      </c>
      <c r="C15" s="19" t="s">
        <v>43</v>
      </c>
      <c r="D15" s="20">
        <f ca="1" t="shared" si="5"/>
        <v>14</v>
      </c>
      <c r="E15" s="20">
        <v>21</v>
      </c>
      <c r="F15" s="20">
        <v>35</v>
      </c>
      <c r="G15" s="21">
        <v>80</v>
      </c>
      <c r="H15" s="20">
        <f ca="1" t="shared" si="6"/>
        <v>10</v>
      </c>
      <c r="I15" s="20">
        <v>21</v>
      </c>
      <c r="J15" s="20">
        <v>35</v>
      </c>
      <c r="K15" s="21">
        <v>80</v>
      </c>
      <c r="L15" s="20">
        <f ca="1" t="shared" si="7"/>
        <v>16</v>
      </c>
      <c r="M15" s="20">
        <f ca="1" t="shared" si="0"/>
        <v>22</v>
      </c>
      <c r="N15" s="20">
        <v>40.7</v>
      </c>
      <c r="O15" s="21">
        <v>93</v>
      </c>
      <c r="P15" s="20">
        <f ca="1" t="shared" si="1"/>
        <v>2</v>
      </c>
      <c r="Q15" s="20">
        <v>21.8</v>
      </c>
      <c r="R15" s="20">
        <v>36.3</v>
      </c>
      <c r="S15" s="21">
        <v>83</v>
      </c>
      <c r="T15" s="20">
        <f ca="1" t="shared" si="8"/>
        <v>16</v>
      </c>
      <c r="U15" s="20">
        <f ca="1" t="shared" si="9"/>
        <v>3</v>
      </c>
      <c r="V15" s="20">
        <f ca="1" t="shared" si="10"/>
        <v>49</v>
      </c>
      <c r="W15" s="20">
        <f ca="1" t="shared" si="11"/>
        <v>68</v>
      </c>
      <c r="X15" s="20">
        <f ca="1" t="shared" si="12"/>
        <v>22</v>
      </c>
      <c r="Y15" s="20">
        <f ca="1" t="shared" si="13"/>
        <v>8</v>
      </c>
      <c r="Z15" s="20">
        <f ca="1" t="shared" si="14"/>
        <v>11</v>
      </c>
      <c r="AA15" s="20">
        <f ca="1" t="shared" si="2"/>
        <v>415</v>
      </c>
      <c r="AB15" s="22">
        <f ca="1" t="shared" si="3"/>
        <v>7.7125</v>
      </c>
      <c r="AC15" s="23" t="str">
        <f ca="1" t="shared" si="4"/>
        <v>FAIL</v>
      </c>
    </row>
    <row r="16" spans="1:29">
      <c r="A16" s="17">
        <v>10</v>
      </c>
      <c r="B16" s="18" t="s">
        <v>44</v>
      </c>
      <c r="C16" s="19" t="s">
        <v>45</v>
      </c>
      <c r="D16" s="20">
        <f ca="1" t="shared" si="5"/>
        <v>2</v>
      </c>
      <c r="E16" s="20">
        <v>19.4</v>
      </c>
      <c r="F16" s="20">
        <v>32.4</v>
      </c>
      <c r="G16" s="21">
        <v>74</v>
      </c>
      <c r="H16" s="20">
        <f ca="1" t="shared" si="6"/>
        <v>14</v>
      </c>
      <c r="I16" s="20">
        <v>22</v>
      </c>
      <c r="J16" s="20">
        <v>36.8</v>
      </c>
      <c r="K16" s="21">
        <v>84</v>
      </c>
      <c r="L16" s="20">
        <f ca="1" t="shared" si="7"/>
        <v>14</v>
      </c>
      <c r="M16" s="20">
        <f ca="1" t="shared" si="0"/>
        <v>20</v>
      </c>
      <c r="N16" s="20">
        <v>43.3</v>
      </c>
      <c r="O16" s="21">
        <v>99</v>
      </c>
      <c r="P16" s="20">
        <f ca="1" t="shared" si="1"/>
        <v>8</v>
      </c>
      <c r="Q16" s="20">
        <v>16.5</v>
      </c>
      <c r="R16" s="20">
        <v>27.6</v>
      </c>
      <c r="S16" s="21">
        <v>63</v>
      </c>
      <c r="T16" s="20">
        <f ca="1" t="shared" si="8"/>
        <v>17</v>
      </c>
      <c r="U16" s="20">
        <f ca="1" t="shared" si="9"/>
        <v>22</v>
      </c>
      <c r="V16" s="20">
        <f ca="1" t="shared" si="10"/>
        <v>42</v>
      </c>
      <c r="W16" s="20">
        <f ca="1" t="shared" si="11"/>
        <v>81</v>
      </c>
      <c r="X16" s="20">
        <f ca="1" t="shared" si="12"/>
        <v>16</v>
      </c>
      <c r="Y16" s="20">
        <f ca="1" t="shared" si="13"/>
        <v>1</v>
      </c>
      <c r="Z16" s="20">
        <f ca="1" t="shared" si="14"/>
        <v>42</v>
      </c>
      <c r="AA16" s="20">
        <f ca="1" t="shared" si="2"/>
        <v>443</v>
      </c>
      <c r="AB16" s="22">
        <f ca="1" t="shared" si="3"/>
        <v>8.04375</v>
      </c>
      <c r="AC16" s="23" t="str">
        <f ca="1" t="shared" si="4"/>
        <v>PASS</v>
      </c>
    </row>
    <row r="17" spans="1:29">
      <c r="A17" s="17">
        <v>11</v>
      </c>
      <c r="B17" s="18" t="s">
        <v>46</v>
      </c>
      <c r="C17" s="19" t="s">
        <v>47</v>
      </c>
      <c r="D17" s="20">
        <f ca="1" t="shared" si="5"/>
        <v>16</v>
      </c>
      <c r="E17" s="20">
        <v>18.4</v>
      </c>
      <c r="F17" s="20">
        <v>30.6</v>
      </c>
      <c r="G17" s="21">
        <v>70</v>
      </c>
      <c r="H17" s="20">
        <f ca="1" t="shared" si="6"/>
        <v>2</v>
      </c>
      <c r="I17" s="20">
        <v>20.5</v>
      </c>
      <c r="J17" s="20">
        <v>34.1</v>
      </c>
      <c r="K17" s="21">
        <v>78</v>
      </c>
      <c r="L17" s="20">
        <f ca="1" t="shared" si="7"/>
        <v>2</v>
      </c>
      <c r="M17" s="20">
        <f ca="1" t="shared" si="0"/>
        <v>24</v>
      </c>
      <c r="N17" s="20">
        <v>24.1</v>
      </c>
      <c r="O17" s="21">
        <v>55</v>
      </c>
      <c r="P17" s="20">
        <f ca="1" t="shared" si="1"/>
        <v>8</v>
      </c>
      <c r="Q17" s="20">
        <v>16.3</v>
      </c>
      <c r="R17" s="20">
        <v>27.1</v>
      </c>
      <c r="S17" s="21">
        <v>62</v>
      </c>
      <c r="T17" s="20">
        <f ca="1" t="shared" si="8"/>
        <v>19</v>
      </c>
      <c r="U17" s="20">
        <f ca="1" t="shared" si="9"/>
        <v>5</v>
      </c>
      <c r="V17" s="20">
        <f ca="1" t="shared" si="10"/>
        <v>42</v>
      </c>
      <c r="W17" s="20">
        <f ca="1" t="shared" si="11"/>
        <v>66</v>
      </c>
      <c r="X17" s="20">
        <f ca="1" t="shared" si="12"/>
        <v>23</v>
      </c>
      <c r="Y17" s="20">
        <f ca="1" t="shared" si="13"/>
        <v>12</v>
      </c>
      <c r="Z17" s="20">
        <f ca="1" t="shared" si="14"/>
        <v>7</v>
      </c>
      <c r="AA17" s="20">
        <f ca="1" t="shared" si="2"/>
        <v>338</v>
      </c>
      <c r="AB17" s="22">
        <f ca="1" t="shared" si="3"/>
        <v>6.29375</v>
      </c>
      <c r="AC17" s="23" t="str">
        <f ca="1" t="shared" si="4"/>
        <v>FAIL</v>
      </c>
    </row>
    <row r="18" spans="1:29">
      <c r="A18" s="17">
        <v>12</v>
      </c>
      <c r="B18" s="18" t="s">
        <v>48</v>
      </c>
      <c r="C18" s="19" t="s">
        <v>49</v>
      </c>
      <c r="D18" s="20">
        <f ca="1" t="shared" si="5"/>
        <v>15</v>
      </c>
      <c r="E18" s="20">
        <v>22.8</v>
      </c>
      <c r="F18" s="20">
        <v>38.1</v>
      </c>
      <c r="G18" s="21">
        <v>87</v>
      </c>
      <c r="H18" s="20">
        <f ca="1" t="shared" si="6"/>
        <v>14</v>
      </c>
      <c r="I18" s="20">
        <v>22.8</v>
      </c>
      <c r="J18" s="20">
        <v>38.1</v>
      </c>
      <c r="K18" s="21">
        <v>87</v>
      </c>
      <c r="L18" s="20">
        <f ca="1" t="shared" si="7"/>
        <v>4</v>
      </c>
      <c r="M18" s="20">
        <f ca="1" t="shared" si="0"/>
        <v>8</v>
      </c>
      <c r="N18" s="20">
        <v>39.8</v>
      </c>
      <c r="O18" s="21">
        <v>91</v>
      </c>
      <c r="P18" s="20">
        <f ca="1" t="shared" si="1"/>
        <v>9</v>
      </c>
      <c r="Q18" s="20">
        <v>26.2</v>
      </c>
      <c r="R18" s="20">
        <v>43.8</v>
      </c>
      <c r="S18" s="21">
        <v>100</v>
      </c>
      <c r="T18" s="20">
        <f ca="1" t="shared" si="8"/>
        <v>4</v>
      </c>
      <c r="U18" s="20">
        <f ca="1" t="shared" si="9"/>
        <v>26</v>
      </c>
      <c r="V18" s="20">
        <f ca="1" t="shared" si="10"/>
        <v>15</v>
      </c>
      <c r="W18" s="20">
        <f ca="1" t="shared" si="11"/>
        <v>45</v>
      </c>
      <c r="X18" s="20">
        <f ca="1" t="shared" si="12"/>
        <v>19</v>
      </c>
      <c r="Y18" s="20">
        <f ca="1" t="shared" si="13"/>
        <v>25</v>
      </c>
      <c r="Z18" s="20">
        <f ca="1" t="shared" si="14"/>
        <v>37</v>
      </c>
      <c r="AA18" s="20">
        <f ca="1" t="shared" si="2"/>
        <v>447</v>
      </c>
      <c r="AB18" s="22">
        <f ca="1" t="shared" si="3"/>
        <v>8.15</v>
      </c>
      <c r="AC18" s="23" t="str">
        <f ca="1" t="shared" si="4"/>
        <v>PASS</v>
      </c>
    </row>
    <row r="19" spans="1:29">
      <c r="A19" s="17">
        <v>13</v>
      </c>
      <c r="B19" s="18" t="s">
        <v>50</v>
      </c>
      <c r="C19" s="19" t="s">
        <v>51</v>
      </c>
      <c r="D19" s="20">
        <f ca="1" t="shared" si="5"/>
        <v>7</v>
      </c>
      <c r="E19" s="20">
        <v>26</v>
      </c>
      <c r="F19" s="20">
        <v>43.3</v>
      </c>
      <c r="G19" s="21">
        <v>99</v>
      </c>
      <c r="H19" s="20">
        <f ca="1" t="shared" si="6"/>
        <v>8</v>
      </c>
      <c r="I19" s="20">
        <v>26.2</v>
      </c>
      <c r="J19" s="20">
        <v>43.8</v>
      </c>
      <c r="K19" s="21">
        <v>100</v>
      </c>
      <c r="L19" s="20">
        <f ca="1" t="shared" si="7"/>
        <v>6</v>
      </c>
      <c r="M19" s="20">
        <f ca="1" t="shared" si="0"/>
        <v>11</v>
      </c>
      <c r="N19" s="20">
        <v>33.2</v>
      </c>
      <c r="O19" s="21">
        <v>76</v>
      </c>
      <c r="P19" s="20">
        <f ca="1" t="shared" si="1"/>
        <v>16</v>
      </c>
      <c r="Q19" s="20">
        <v>25.7</v>
      </c>
      <c r="R19" s="20">
        <v>42.9</v>
      </c>
      <c r="S19" s="21">
        <v>98</v>
      </c>
      <c r="T19" s="20">
        <f ca="1" t="shared" si="8"/>
        <v>16</v>
      </c>
      <c r="U19" s="20">
        <f ca="1" t="shared" si="9"/>
        <v>7</v>
      </c>
      <c r="V19" s="20">
        <f ca="1" t="shared" si="10"/>
        <v>10</v>
      </c>
      <c r="W19" s="20">
        <f ca="1" t="shared" si="11"/>
        <v>33</v>
      </c>
      <c r="X19" s="20">
        <f ca="1" t="shared" si="12"/>
        <v>18</v>
      </c>
      <c r="Y19" s="20">
        <f ca="1" t="shared" si="13"/>
        <v>22</v>
      </c>
      <c r="Z19" s="20">
        <f ca="1" t="shared" si="14"/>
        <v>47</v>
      </c>
      <c r="AA19" s="20">
        <f ca="1" t="shared" si="2"/>
        <v>453</v>
      </c>
      <c r="AB19" s="22">
        <f ca="1" t="shared" si="3"/>
        <v>8.2</v>
      </c>
      <c r="AC19" s="23" t="str">
        <f ca="1" t="shared" si="4"/>
        <v>FAIL</v>
      </c>
    </row>
    <row r="20" spans="1:29">
      <c r="A20" s="17">
        <v>14</v>
      </c>
      <c r="B20" s="18" t="s">
        <v>52</v>
      </c>
      <c r="C20" s="19" t="s">
        <v>53</v>
      </c>
      <c r="D20" s="20">
        <f ca="1" t="shared" si="5"/>
        <v>18</v>
      </c>
      <c r="E20" s="20">
        <v>21.3</v>
      </c>
      <c r="F20" s="20">
        <v>35.4</v>
      </c>
      <c r="G20" s="21">
        <v>81</v>
      </c>
      <c r="H20" s="20">
        <f ca="1" t="shared" si="6"/>
        <v>8</v>
      </c>
      <c r="I20" s="20">
        <v>17.6</v>
      </c>
      <c r="J20" s="20">
        <v>29.3</v>
      </c>
      <c r="K20" s="21">
        <v>67</v>
      </c>
      <c r="L20" s="20">
        <f ca="1" t="shared" si="7"/>
        <v>4</v>
      </c>
      <c r="M20" s="20">
        <f ca="1" t="shared" si="0"/>
        <v>29</v>
      </c>
      <c r="N20" s="20">
        <v>31.9</v>
      </c>
      <c r="O20" s="21">
        <v>73</v>
      </c>
      <c r="P20" s="20">
        <f ca="1" t="shared" si="1"/>
        <v>4</v>
      </c>
      <c r="Q20" s="20">
        <v>18.1</v>
      </c>
      <c r="R20" s="20">
        <v>30.2</v>
      </c>
      <c r="S20" s="21">
        <v>69</v>
      </c>
      <c r="T20" s="20">
        <f ca="1" t="shared" si="8"/>
        <v>4</v>
      </c>
      <c r="U20" s="20">
        <f ca="1" t="shared" si="9"/>
        <v>24</v>
      </c>
      <c r="V20" s="20">
        <f ca="1" t="shared" si="10"/>
        <v>37</v>
      </c>
      <c r="W20" s="20">
        <f ca="1" t="shared" si="11"/>
        <v>65</v>
      </c>
      <c r="X20" s="20">
        <f ca="1" t="shared" si="12"/>
        <v>24</v>
      </c>
      <c r="Y20" s="20">
        <f ca="1" t="shared" si="13"/>
        <v>15</v>
      </c>
      <c r="Z20" s="20">
        <f ca="1" t="shared" si="14"/>
        <v>34</v>
      </c>
      <c r="AA20" s="20">
        <f ca="1" t="shared" si="2"/>
        <v>389</v>
      </c>
      <c r="AB20" s="22">
        <f ca="1" t="shared" si="3"/>
        <v>7.08125</v>
      </c>
      <c r="AC20" s="23" t="str">
        <f ca="1" t="shared" si="4"/>
        <v>PASS</v>
      </c>
    </row>
    <row r="21" spans="1:29">
      <c r="A21" s="17">
        <v>15</v>
      </c>
      <c r="B21" s="18" t="s">
        <v>54</v>
      </c>
      <c r="C21" s="19" t="s">
        <v>55</v>
      </c>
      <c r="D21" s="20">
        <f ca="1" t="shared" si="5"/>
        <v>20</v>
      </c>
      <c r="E21" s="20">
        <v>21.8</v>
      </c>
      <c r="F21" s="20">
        <v>36.3</v>
      </c>
      <c r="G21" s="21">
        <v>83</v>
      </c>
      <c r="H21" s="20">
        <f ca="1" t="shared" si="6"/>
        <v>12</v>
      </c>
      <c r="I21" s="20">
        <v>19.2</v>
      </c>
      <c r="J21" s="20">
        <v>31.9</v>
      </c>
      <c r="K21" s="21">
        <v>73</v>
      </c>
      <c r="L21" s="20">
        <f ca="1" t="shared" si="7"/>
        <v>5</v>
      </c>
      <c r="M21" s="20">
        <f ca="1" t="shared" si="0"/>
        <v>29</v>
      </c>
      <c r="N21" s="20">
        <v>33.2</v>
      </c>
      <c r="O21" s="21">
        <v>76</v>
      </c>
      <c r="P21" s="20">
        <f ca="1" t="shared" si="1"/>
        <v>14</v>
      </c>
      <c r="Q21" s="20">
        <v>22</v>
      </c>
      <c r="R21" s="20">
        <v>36.8</v>
      </c>
      <c r="S21" s="21">
        <v>84</v>
      </c>
      <c r="T21" s="20">
        <f ca="1" t="shared" si="8"/>
        <v>15</v>
      </c>
      <c r="U21" s="20">
        <f ca="1" t="shared" si="9"/>
        <v>2</v>
      </c>
      <c r="V21" s="20">
        <f ca="1" t="shared" si="10"/>
        <v>35</v>
      </c>
      <c r="W21" s="20">
        <f ca="1" t="shared" si="11"/>
        <v>52</v>
      </c>
      <c r="X21" s="20">
        <f ca="1" t="shared" si="12"/>
        <v>12</v>
      </c>
      <c r="Y21" s="20">
        <f ca="1" t="shared" si="13"/>
        <v>3</v>
      </c>
      <c r="Z21" s="20">
        <f ca="1" t="shared" si="14"/>
        <v>29</v>
      </c>
      <c r="AA21" s="20">
        <f ca="1" t="shared" si="2"/>
        <v>397</v>
      </c>
      <c r="AB21" s="22">
        <f ca="1" t="shared" si="3"/>
        <v>7.2625</v>
      </c>
      <c r="AC21" s="23" t="str">
        <f ca="1" t="shared" si="4"/>
        <v>PASS</v>
      </c>
    </row>
    <row r="22" spans="1:29">
      <c r="A22" s="17">
        <v>16</v>
      </c>
      <c r="B22" s="18" t="s">
        <v>56</v>
      </c>
      <c r="C22" s="19" t="s">
        <v>57</v>
      </c>
      <c r="D22" s="20">
        <f ca="1" t="shared" si="5"/>
        <v>15</v>
      </c>
      <c r="E22" s="20">
        <v>20</v>
      </c>
      <c r="F22" s="20">
        <v>33.2</v>
      </c>
      <c r="G22" s="21">
        <v>76</v>
      </c>
      <c r="H22" s="20">
        <f ca="1" t="shared" si="6"/>
        <v>5</v>
      </c>
      <c r="I22" s="20">
        <v>20.2</v>
      </c>
      <c r="J22" s="20">
        <v>33.7</v>
      </c>
      <c r="K22" s="21">
        <v>77</v>
      </c>
      <c r="L22" s="20">
        <f ca="1" t="shared" si="7"/>
        <v>14</v>
      </c>
      <c r="M22" s="20">
        <f ca="1" t="shared" si="0"/>
        <v>18</v>
      </c>
      <c r="N22" s="20">
        <v>30.2</v>
      </c>
      <c r="O22" s="21">
        <v>69</v>
      </c>
      <c r="P22" s="20">
        <f ca="1" t="shared" si="1"/>
        <v>8</v>
      </c>
      <c r="Q22" s="20">
        <v>22.8</v>
      </c>
      <c r="R22" s="20">
        <v>38.1</v>
      </c>
      <c r="S22" s="21">
        <v>87</v>
      </c>
      <c r="T22" s="20">
        <f ca="1" t="shared" si="8"/>
        <v>7</v>
      </c>
      <c r="U22" s="20">
        <f ca="1" t="shared" si="9"/>
        <v>4</v>
      </c>
      <c r="V22" s="20">
        <f ca="1" t="shared" si="10"/>
        <v>23</v>
      </c>
      <c r="W22" s="20">
        <f ca="1" t="shared" si="11"/>
        <v>34</v>
      </c>
      <c r="X22" s="20">
        <f ca="1" t="shared" si="12"/>
        <v>20</v>
      </c>
      <c r="Y22" s="20">
        <f ca="1" t="shared" si="13"/>
        <v>25</v>
      </c>
      <c r="Z22" s="20">
        <f ca="1" t="shared" si="14"/>
        <v>41</v>
      </c>
      <c r="AA22" s="20">
        <f ca="1" t="shared" si="2"/>
        <v>384</v>
      </c>
      <c r="AB22" s="22">
        <f ca="1" t="shared" si="3"/>
        <v>6.94375</v>
      </c>
      <c r="AC22" s="23" t="str">
        <f ca="1" t="shared" si="4"/>
        <v>FAIL</v>
      </c>
    </row>
    <row r="23" spans="1:29">
      <c r="A23" s="17">
        <v>17</v>
      </c>
      <c r="B23" s="18" t="s">
        <v>58</v>
      </c>
      <c r="C23" s="19" t="s">
        <v>59</v>
      </c>
      <c r="D23" s="20">
        <f ca="1" t="shared" si="5"/>
        <v>6</v>
      </c>
      <c r="E23" s="20">
        <v>22.6</v>
      </c>
      <c r="F23" s="20">
        <v>37.6</v>
      </c>
      <c r="G23" s="21">
        <v>86</v>
      </c>
      <c r="H23" s="20">
        <f ca="1" t="shared" si="6"/>
        <v>10</v>
      </c>
      <c r="I23" s="20">
        <v>23.6</v>
      </c>
      <c r="J23" s="20">
        <v>39.4</v>
      </c>
      <c r="K23" s="21">
        <v>90</v>
      </c>
      <c r="L23" s="20">
        <f ca="1" t="shared" si="7"/>
        <v>9</v>
      </c>
      <c r="M23" s="20">
        <f ca="1" t="shared" si="0"/>
        <v>22</v>
      </c>
      <c r="N23" s="20">
        <v>40.7</v>
      </c>
      <c r="O23" s="21">
        <v>93</v>
      </c>
      <c r="P23" s="20">
        <f ca="1" t="shared" si="1"/>
        <v>7</v>
      </c>
      <c r="Q23" s="20">
        <v>15.2</v>
      </c>
      <c r="R23" s="20">
        <v>25.4</v>
      </c>
      <c r="S23" s="21">
        <v>58</v>
      </c>
      <c r="T23" s="20">
        <f ca="1" t="shared" si="8"/>
        <v>15</v>
      </c>
      <c r="U23" s="20">
        <f ca="1" t="shared" si="9"/>
        <v>26</v>
      </c>
      <c r="V23" s="20">
        <f ca="1" t="shared" si="10"/>
        <v>27</v>
      </c>
      <c r="W23" s="20">
        <f ca="1" t="shared" si="11"/>
        <v>68</v>
      </c>
      <c r="X23" s="20">
        <f ca="1" t="shared" si="12"/>
        <v>6</v>
      </c>
      <c r="Y23" s="20">
        <f ca="1" t="shared" si="13"/>
        <v>13</v>
      </c>
      <c r="Z23" s="20">
        <f ca="1" t="shared" si="14"/>
        <v>6</v>
      </c>
      <c r="AA23" s="20">
        <f ca="1" t="shared" si="2"/>
        <v>401</v>
      </c>
      <c r="AB23" s="22">
        <f ca="1" t="shared" si="3"/>
        <v>7.48125</v>
      </c>
      <c r="AC23" s="23" t="str">
        <f ca="1" t="shared" si="4"/>
        <v>FAIL</v>
      </c>
    </row>
    <row r="24" spans="1:29">
      <c r="A24" s="17">
        <v>18</v>
      </c>
      <c r="B24" s="18" t="s">
        <v>60</v>
      </c>
      <c r="C24" s="19" t="s">
        <v>61</v>
      </c>
      <c r="D24" s="20">
        <f ca="1" t="shared" si="5"/>
        <v>14</v>
      </c>
      <c r="E24" s="20">
        <v>23.1</v>
      </c>
      <c r="F24" s="20">
        <v>38.5</v>
      </c>
      <c r="G24" s="21">
        <v>88</v>
      </c>
      <c r="H24" s="20">
        <f ca="1" t="shared" si="6"/>
        <v>7</v>
      </c>
      <c r="I24" s="20">
        <v>26.2</v>
      </c>
      <c r="J24" s="20">
        <v>43.8</v>
      </c>
      <c r="K24" s="21">
        <v>100</v>
      </c>
      <c r="L24" s="20">
        <f ca="1" t="shared" si="7"/>
        <v>2</v>
      </c>
      <c r="M24" s="20">
        <f ca="1" t="shared" si="0"/>
        <v>6</v>
      </c>
      <c r="N24" s="20">
        <v>42</v>
      </c>
      <c r="O24" s="21">
        <v>96</v>
      </c>
      <c r="P24" s="20">
        <f ca="1" t="shared" si="1"/>
        <v>8</v>
      </c>
      <c r="Q24" s="20">
        <v>22</v>
      </c>
      <c r="R24" s="20">
        <v>36.8</v>
      </c>
      <c r="S24" s="21">
        <v>84</v>
      </c>
      <c r="T24" s="20">
        <f ca="1" t="shared" si="8"/>
        <v>7</v>
      </c>
      <c r="U24" s="20">
        <f ca="1" t="shared" si="9"/>
        <v>27</v>
      </c>
      <c r="V24" s="20">
        <f ca="1" t="shared" si="10"/>
        <v>47</v>
      </c>
      <c r="W24" s="20">
        <f ca="1" t="shared" si="11"/>
        <v>81</v>
      </c>
      <c r="X24" s="20">
        <f ca="1" t="shared" si="12"/>
        <v>14</v>
      </c>
      <c r="Y24" s="20">
        <f ca="1" t="shared" si="13"/>
        <v>12</v>
      </c>
      <c r="Z24" s="20">
        <f ca="1" t="shared" si="14"/>
        <v>48</v>
      </c>
      <c r="AA24" s="20">
        <f ca="1" t="shared" si="2"/>
        <v>497</v>
      </c>
      <c r="AB24" s="22">
        <f ca="1" t="shared" si="3"/>
        <v>9.01875</v>
      </c>
      <c r="AC24" s="23" t="str">
        <f ca="1" t="shared" si="4"/>
        <v>PASS</v>
      </c>
    </row>
    <row r="25" spans="1:29">
      <c r="A25" s="17">
        <v>19</v>
      </c>
      <c r="B25" s="18" t="s">
        <v>62</v>
      </c>
      <c r="C25" s="19" t="s">
        <v>63</v>
      </c>
      <c r="D25" s="20">
        <f ca="1" t="shared" si="5"/>
        <v>5</v>
      </c>
      <c r="E25" s="20">
        <v>24.9</v>
      </c>
      <c r="F25" s="20">
        <v>41.6</v>
      </c>
      <c r="G25" s="21">
        <v>95</v>
      </c>
      <c r="H25" s="20">
        <f ca="1" t="shared" si="6"/>
        <v>19</v>
      </c>
      <c r="I25" s="20">
        <v>16.5</v>
      </c>
      <c r="J25" s="20">
        <v>27.6</v>
      </c>
      <c r="K25" s="21">
        <v>63</v>
      </c>
      <c r="L25" s="20">
        <f ca="1" t="shared" si="7"/>
        <v>15</v>
      </c>
      <c r="M25" s="20">
        <f ca="1" t="shared" si="0"/>
        <v>8</v>
      </c>
      <c r="N25" s="20">
        <v>27.1</v>
      </c>
      <c r="O25" s="21">
        <v>62</v>
      </c>
      <c r="P25" s="20">
        <f ca="1" t="shared" si="1"/>
        <v>15</v>
      </c>
      <c r="Q25" s="20">
        <v>20</v>
      </c>
      <c r="R25" s="20">
        <v>33.2</v>
      </c>
      <c r="S25" s="21">
        <v>76</v>
      </c>
      <c r="T25" s="20">
        <f ca="1" t="shared" si="8"/>
        <v>12</v>
      </c>
      <c r="U25" s="20">
        <f ca="1" t="shared" si="9"/>
        <v>1</v>
      </c>
      <c r="V25" s="20">
        <f ca="1" t="shared" si="10"/>
        <v>26</v>
      </c>
      <c r="W25" s="20">
        <f ca="1" t="shared" si="11"/>
        <v>39</v>
      </c>
      <c r="X25" s="20">
        <f ca="1" t="shared" si="12"/>
        <v>20</v>
      </c>
      <c r="Y25" s="20">
        <f ca="1" t="shared" si="13"/>
        <v>9</v>
      </c>
      <c r="Z25" s="20">
        <f ca="1" t="shared" si="14"/>
        <v>21</v>
      </c>
      <c r="AA25" s="20">
        <f ca="1" t="shared" si="2"/>
        <v>356</v>
      </c>
      <c r="AB25" s="22">
        <f ca="1" t="shared" si="3"/>
        <v>6.54375</v>
      </c>
      <c r="AC25" s="23" t="str">
        <f ca="1" t="shared" si="4"/>
        <v>FAIL</v>
      </c>
    </row>
    <row r="26" spans="1:29">
      <c r="A26" s="17">
        <v>20</v>
      </c>
      <c r="B26" s="18" t="s">
        <v>64</v>
      </c>
      <c r="C26" s="19" t="s">
        <v>65</v>
      </c>
      <c r="D26" s="20">
        <f ca="1" t="shared" si="5"/>
        <v>13</v>
      </c>
      <c r="E26" s="20">
        <v>21.5</v>
      </c>
      <c r="F26" s="20">
        <v>35.9</v>
      </c>
      <c r="G26" s="21">
        <v>82</v>
      </c>
      <c r="H26" s="20">
        <f ca="1" t="shared" si="6"/>
        <v>1</v>
      </c>
      <c r="I26" s="20">
        <v>26.2</v>
      </c>
      <c r="J26" s="20">
        <v>43.8</v>
      </c>
      <c r="K26" s="21">
        <v>100</v>
      </c>
      <c r="L26" s="20">
        <f ca="1" t="shared" si="7"/>
        <v>3</v>
      </c>
      <c r="M26" s="20">
        <f ca="1" t="shared" si="0"/>
        <v>24</v>
      </c>
      <c r="N26" s="20">
        <v>32.8</v>
      </c>
      <c r="O26" s="21">
        <v>75</v>
      </c>
      <c r="P26" s="20">
        <f ca="1" t="shared" si="1"/>
        <v>6</v>
      </c>
      <c r="Q26" s="20">
        <v>18.1</v>
      </c>
      <c r="R26" s="20">
        <v>30.2</v>
      </c>
      <c r="S26" s="21">
        <v>69</v>
      </c>
      <c r="T26" s="20">
        <f ca="1" t="shared" si="8"/>
        <v>13</v>
      </c>
      <c r="U26" s="20">
        <f ca="1" t="shared" si="9"/>
        <v>29</v>
      </c>
      <c r="V26" s="20">
        <f ca="1" t="shared" si="10"/>
        <v>2</v>
      </c>
      <c r="W26" s="20">
        <f ca="1" t="shared" si="11"/>
        <v>44</v>
      </c>
      <c r="X26" s="20">
        <f ca="1" t="shared" si="12"/>
        <v>6</v>
      </c>
      <c r="Y26" s="20">
        <f ca="1" t="shared" si="13"/>
        <v>1</v>
      </c>
      <c r="Z26" s="20">
        <f ca="1" t="shared" si="14"/>
        <v>6</v>
      </c>
      <c r="AA26" s="20">
        <f ca="1" t="shared" si="2"/>
        <v>376</v>
      </c>
      <c r="AB26" s="22">
        <f ca="1" t="shared" si="3"/>
        <v>7.0125</v>
      </c>
      <c r="AC26" s="23" t="str">
        <f ca="1" t="shared" si="4"/>
        <v>FAIL</v>
      </c>
    </row>
    <row r="27" spans="1:29">
      <c r="A27" s="17">
        <v>21</v>
      </c>
      <c r="B27" s="18" t="s">
        <v>66</v>
      </c>
      <c r="C27" s="19" t="s">
        <v>67</v>
      </c>
      <c r="D27" s="20">
        <f ca="1" t="shared" si="5"/>
        <v>12</v>
      </c>
      <c r="E27" s="20">
        <v>17.1</v>
      </c>
      <c r="F27" s="20">
        <v>28.4</v>
      </c>
      <c r="G27" s="21">
        <v>65</v>
      </c>
      <c r="H27" s="20">
        <f ca="1" t="shared" si="6"/>
        <v>18</v>
      </c>
      <c r="I27" s="20">
        <v>19.4</v>
      </c>
      <c r="J27" s="20">
        <v>32.4</v>
      </c>
      <c r="K27" s="21">
        <v>74</v>
      </c>
      <c r="L27" s="20">
        <f ca="1" t="shared" si="7"/>
        <v>1</v>
      </c>
      <c r="M27" s="20">
        <f ca="1" t="shared" si="0"/>
        <v>26</v>
      </c>
      <c r="N27" s="20">
        <v>34.1</v>
      </c>
      <c r="O27" s="21">
        <v>78</v>
      </c>
      <c r="P27" s="20">
        <f ca="1" t="shared" si="1"/>
        <v>7</v>
      </c>
      <c r="Q27" s="20">
        <v>15.8</v>
      </c>
      <c r="R27" s="20">
        <v>26.2</v>
      </c>
      <c r="S27" s="21">
        <v>60</v>
      </c>
      <c r="T27" s="20">
        <f ca="1" t="shared" si="8"/>
        <v>7</v>
      </c>
      <c r="U27" s="20">
        <f ca="1" t="shared" si="9"/>
        <v>5</v>
      </c>
      <c r="V27" s="20">
        <f ca="1" t="shared" si="10"/>
        <v>34</v>
      </c>
      <c r="W27" s="20">
        <f ca="1" t="shared" si="11"/>
        <v>46</v>
      </c>
      <c r="X27" s="20">
        <f ca="1" t="shared" si="12"/>
        <v>6</v>
      </c>
      <c r="Y27" s="20">
        <f ca="1" t="shared" si="13"/>
        <v>2</v>
      </c>
      <c r="Z27" s="20">
        <f ca="1" t="shared" si="14"/>
        <v>2</v>
      </c>
      <c r="AA27" s="20">
        <f ca="1" t="shared" si="2"/>
        <v>325</v>
      </c>
      <c r="AB27" s="22">
        <f ca="1" t="shared" si="3"/>
        <v>6.08125</v>
      </c>
      <c r="AC27" s="23" t="str">
        <f ca="1" t="shared" si="4"/>
        <v>FAIL</v>
      </c>
    </row>
    <row r="28" spans="1:29">
      <c r="A28" s="17">
        <v>22</v>
      </c>
      <c r="B28" s="18" t="s">
        <v>68</v>
      </c>
      <c r="C28" s="19" t="s">
        <v>69</v>
      </c>
      <c r="D28" s="20">
        <f ca="1" t="shared" si="5"/>
        <v>7</v>
      </c>
      <c r="E28" s="20">
        <v>12.3</v>
      </c>
      <c r="F28" s="20">
        <v>20.6</v>
      </c>
      <c r="G28" s="21">
        <v>47</v>
      </c>
      <c r="H28" s="20">
        <f ca="1" t="shared" si="6"/>
        <v>1</v>
      </c>
      <c r="I28" s="20">
        <v>20.7</v>
      </c>
      <c r="J28" s="20">
        <v>34.6</v>
      </c>
      <c r="K28" s="21">
        <v>79</v>
      </c>
      <c r="L28" s="20">
        <f ca="1" t="shared" si="7"/>
        <v>15</v>
      </c>
      <c r="M28" s="20">
        <f ca="1" t="shared" si="0"/>
        <v>18</v>
      </c>
      <c r="N28" s="20">
        <v>19.2</v>
      </c>
      <c r="O28" s="21">
        <v>44</v>
      </c>
      <c r="P28" s="20">
        <f ca="1" t="shared" si="1"/>
        <v>16</v>
      </c>
      <c r="Q28" s="20">
        <v>18.1</v>
      </c>
      <c r="R28" s="20">
        <v>30.2</v>
      </c>
      <c r="S28" s="21">
        <v>69</v>
      </c>
      <c r="T28" s="20">
        <f ca="1" t="shared" si="8"/>
        <v>11</v>
      </c>
      <c r="U28" s="20">
        <f ca="1" t="shared" si="9"/>
        <v>11</v>
      </c>
      <c r="V28" s="20">
        <f ca="1" t="shared" si="10"/>
        <v>20</v>
      </c>
      <c r="W28" s="20">
        <f ca="1" t="shared" si="11"/>
        <v>42</v>
      </c>
      <c r="X28" s="20">
        <f ca="1" t="shared" si="12"/>
        <v>17</v>
      </c>
      <c r="Y28" s="20">
        <f ca="1" t="shared" si="13"/>
        <v>16</v>
      </c>
      <c r="Z28" s="20">
        <f ca="1" t="shared" si="14"/>
        <v>11</v>
      </c>
      <c r="AA28" s="20">
        <f ca="1" t="shared" si="2"/>
        <v>292</v>
      </c>
      <c r="AB28" s="22">
        <f ca="1" t="shared" si="3"/>
        <v>5.40625</v>
      </c>
      <c r="AC28" s="23" t="str">
        <f ca="1" t="shared" si="4"/>
        <v>FAIL</v>
      </c>
    </row>
    <row r="29" spans="1:29">
      <c r="A29" s="17">
        <v>23</v>
      </c>
      <c r="B29" s="18" t="s">
        <v>70</v>
      </c>
      <c r="C29" s="19" t="s">
        <v>71</v>
      </c>
      <c r="D29" s="20">
        <f ca="1" t="shared" si="5"/>
        <v>6</v>
      </c>
      <c r="E29" s="20">
        <v>24.4</v>
      </c>
      <c r="F29" s="20">
        <v>40.7</v>
      </c>
      <c r="G29" s="21">
        <v>93</v>
      </c>
      <c r="H29" s="20">
        <f ca="1" t="shared" si="6"/>
        <v>7</v>
      </c>
      <c r="I29" s="20">
        <v>22.3</v>
      </c>
      <c r="J29" s="20">
        <v>37.2</v>
      </c>
      <c r="K29" s="21">
        <v>85</v>
      </c>
      <c r="L29" s="20">
        <f ca="1" t="shared" si="7"/>
        <v>10</v>
      </c>
      <c r="M29" s="20">
        <f ca="1" t="shared" si="0"/>
        <v>5</v>
      </c>
      <c r="N29" s="20">
        <v>40.7</v>
      </c>
      <c r="O29" s="21">
        <v>93</v>
      </c>
      <c r="P29" s="20">
        <f ca="1" t="shared" si="1"/>
        <v>9</v>
      </c>
      <c r="Q29" s="20">
        <v>22.6</v>
      </c>
      <c r="R29" s="20">
        <v>37.6</v>
      </c>
      <c r="S29" s="21">
        <v>86</v>
      </c>
      <c r="T29" s="20">
        <f ca="1" t="shared" si="8"/>
        <v>20</v>
      </c>
      <c r="U29" s="20">
        <f ca="1" t="shared" si="9"/>
        <v>30</v>
      </c>
      <c r="V29" s="20">
        <f ca="1" t="shared" si="10"/>
        <v>32</v>
      </c>
      <c r="W29" s="20">
        <f ca="1" t="shared" si="11"/>
        <v>82</v>
      </c>
      <c r="X29" s="20">
        <f ca="1" t="shared" si="12"/>
        <v>7</v>
      </c>
      <c r="Y29" s="20">
        <f ca="1" t="shared" si="13"/>
        <v>12</v>
      </c>
      <c r="Z29" s="20">
        <f ca="1" t="shared" si="14"/>
        <v>20</v>
      </c>
      <c r="AA29" s="20">
        <f ca="1" t="shared" si="2"/>
        <v>459</v>
      </c>
      <c r="AB29" s="22">
        <f ca="1" t="shared" si="3"/>
        <v>8.48125</v>
      </c>
      <c r="AC29" s="23" t="str">
        <f ca="1" t="shared" si="4"/>
        <v>PASS</v>
      </c>
    </row>
    <row r="30" spans="1:29">
      <c r="A30" s="17">
        <v>24</v>
      </c>
      <c r="B30" s="18" t="s">
        <v>72</v>
      </c>
      <c r="C30" s="19" t="s">
        <v>73</v>
      </c>
      <c r="D30" s="20">
        <f ca="1" t="shared" si="5"/>
        <v>13</v>
      </c>
      <c r="E30" s="20">
        <v>20.2</v>
      </c>
      <c r="F30" s="20">
        <v>33.7</v>
      </c>
      <c r="G30" s="21">
        <v>77</v>
      </c>
      <c r="H30" s="20">
        <f ca="1" t="shared" si="6"/>
        <v>18</v>
      </c>
      <c r="I30" s="20">
        <v>21.3</v>
      </c>
      <c r="J30" s="20">
        <v>35.4</v>
      </c>
      <c r="K30" s="21">
        <v>81</v>
      </c>
      <c r="L30" s="20">
        <f ca="1" t="shared" si="7"/>
        <v>12</v>
      </c>
      <c r="M30" s="20">
        <f ca="1" t="shared" si="0"/>
        <v>29</v>
      </c>
      <c r="N30" s="20">
        <v>38.9</v>
      </c>
      <c r="O30" s="21">
        <v>89</v>
      </c>
      <c r="P30" s="20">
        <f ca="1" t="shared" si="1"/>
        <v>16</v>
      </c>
      <c r="Q30" s="20">
        <v>21.8</v>
      </c>
      <c r="R30" s="20">
        <v>36.3</v>
      </c>
      <c r="S30" s="21">
        <v>83</v>
      </c>
      <c r="T30" s="20">
        <f ca="1" t="shared" si="8"/>
        <v>1</v>
      </c>
      <c r="U30" s="20">
        <f ca="1" t="shared" si="9"/>
        <v>10</v>
      </c>
      <c r="V30" s="20">
        <f ca="1" t="shared" si="10"/>
        <v>10</v>
      </c>
      <c r="W30" s="20">
        <f ca="1" t="shared" si="11"/>
        <v>21</v>
      </c>
      <c r="X30" s="20">
        <f ca="1" t="shared" si="12"/>
        <v>9</v>
      </c>
      <c r="Y30" s="20">
        <f ca="1" t="shared" si="13"/>
        <v>24</v>
      </c>
      <c r="Z30" s="20">
        <f ca="1" t="shared" si="14"/>
        <v>25</v>
      </c>
      <c r="AA30" s="20">
        <f ca="1" t="shared" si="2"/>
        <v>376</v>
      </c>
      <c r="AB30" s="22">
        <f ca="1" t="shared" si="3"/>
        <v>6.89375</v>
      </c>
      <c r="AC30" s="23" t="str">
        <f ca="1" t="shared" si="4"/>
        <v>FAIL</v>
      </c>
    </row>
    <row r="31" spans="1:29">
      <c r="A31" s="17">
        <v>25</v>
      </c>
      <c r="B31" s="18" t="s">
        <v>74</v>
      </c>
      <c r="C31" s="19" t="s">
        <v>75</v>
      </c>
      <c r="D31" s="20">
        <f ca="1" t="shared" si="5"/>
        <v>3</v>
      </c>
      <c r="E31" s="20">
        <v>16.8</v>
      </c>
      <c r="F31" s="20">
        <v>28</v>
      </c>
      <c r="G31" s="21">
        <v>64</v>
      </c>
      <c r="H31" s="20">
        <f ca="1" t="shared" si="6"/>
        <v>19</v>
      </c>
      <c r="I31" s="20">
        <v>26.2</v>
      </c>
      <c r="J31" s="20">
        <v>43.8</v>
      </c>
      <c r="K31" s="21">
        <v>100</v>
      </c>
      <c r="L31" s="20">
        <f ca="1" t="shared" si="7"/>
        <v>1</v>
      </c>
      <c r="M31" s="20">
        <f ca="1" t="shared" si="0"/>
        <v>25</v>
      </c>
      <c r="N31" s="20">
        <v>35.4</v>
      </c>
      <c r="O31" s="21">
        <v>81</v>
      </c>
      <c r="P31" s="20">
        <f ca="1" t="shared" si="1"/>
        <v>9</v>
      </c>
      <c r="Q31" s="20">
        <v>25.2</v>
      </c>
      <c r="R31" s="20">
        <v>42</v>
      </c>
      <c r="S31" s="21">
        <v>96</v>
      </c>
      <c r="T31" s="20">
        <f ca="1" t="shared" si="8"/>
        <v>20</v>
      </c>
      <c r="U31" s="20">
        <f ca="1" t="shared" si="9"/>
        <v>26</v>
      </c>
      <c r="V31" s="20">
        <f ca="1" t="shared" si="10"/>
        <v>37</v>
      </c>
      <c r="W31" s="20">
        <f ca="1" t="shared" si="11"/>
        <v>83</v>
      </c>
      <c r="X31" s="20">
        <f ca="1" t="shared" si="12"/>
        <v>1</v>
      </c>
      <c r="Y31" s="20">
        <f ca="1" t="shared" si="13"/>
        <v>5</v>
      </c>
      <c r="Z31" s="20">
        <f ca="1" t="shared" si="14"/>
        <v>35</v>
      </c>
      <c r="AA31" s="20">
        <f ca="1" t="shared" si="2"/>
        <v>459</v>
      </c>
      <c r="AB31" s="22">
        <f ca="1" t="shared" si="3"/>
        <v>8.3875</v>
      </c>
      <c r="AC31" s="23" t="str">
        <f ca="1" t="shared" si="4"/>
        <v>PASS</v>
      </c>
    </row>
    <row r="32" spans="1:29">
      <c r="A32" s="17">
        <v>26</v>
      </c>
      <c r="B32" s="18" t="s">
        <v>76</v>
      </c>
      <c r="C32" s="19" t="s">
        <v>77</v>
      </c>
      <c r="D32" s="20">
        <f ca="1" t="shared" si="5"/>
        <v>11</v>
      </c>
      <c r="E32" s="20">
        <v>18.9</v>
      </c>
      <c r="F32" s="20">
        <v>31.5</v>
      </c>
      <c r="G32" s="21">
        <v>72</v>
      </c>
      <c r="H32" s="20">
        <f ca="1" t="shared" si="6"/>
        <v>1</v>
      </c>
      <c r="I32" s="20">
        <v>19.7</v>
      </c>
      <c r="J32" s="20">
        <v>32.8</v>
      </c>
      <c r="K32" s="21">
        <v>75</v>
      </c>
      <c r="L32" s="20">
        <f ca="1" t="shared" si="7"/>
        <v>16</v>
      </c>
      <c r="M32" s="20">
        <f ca="1" t="shared" si="0"/>
        <v>6</v>
      </c>
      <c r="N32" s="20">
        <v>30.2</v>
      </c>
      <c r="O32" s="21">
        <v>69</v>
      </c>
      <c r="P32" s="20">
        <f ca="1" t="shared" si="1"/>
        <v>15</v>
      </c>
      <c r="Q32" s="20">
        <v>16.8</v>
      </c>
      <c r="R32" s="20">
        <v>28</v>
      </c>
      <c r="S32" s="21">
        <v>64</v>
      </c>
      <c r="T32" s="20">
        <f ca="1" t="shared" si="8"/>
        <v>14</v>
      </c>
      <c r="U32" s="20">
        <f ca="1" t="shared" si="9"/>
        <v>23</v>
      </c>
      <c r="V32" s="20">
        <f ca="1" t="shared" si="10"/>
        <v>38</v>
      </c>
      <c r="W32" s="20">
        <f ca="1" t="shared" si="11"/>
        <v>75</v>
      </c>
      <c r="X32" s="20">
        <f ca="1" t="shared" si="12"/>
        <v>1</v>
      </c>
      <c r="Y32" s="20">
        <f ca="1" t="shared" si="13"/>
        <v>17</v>
      </c>
      <c r="Z32" s="20">
        <f ca="1" t="shared" si="14"/>
        <v>35</v>
      </c>
      <c r="AA32" s="20">
        <f ca="1" t="shared" si="2"/>
        <v>390</v>
      </c>
      <c r="AB32" s="22">
        <f ca="1" t="shared" si="3"/>
        <v>7.09375</v>
      </c>
      <c r="AC32" s="23" t="str">
        <f ca="1" t="shared" si="4"/>
        <v>PASS</v>
      </c>
    </row>
    <row r="33" spans="1:29">
      <c r="A33" s="17">
        <v>27</v>
      </c>
      <c r="B33" s="18" t="s">
        <v>78</v>
      </c>
      <c r="C33" s="19" t="s">
        <v>79</v>
      </c>
      <c r="D33" s="20">
        <f ca="1" t="shared" si="5"/>
        <v>7</v>
      </c>
      <c r="E33" s="20">
        <v>15.2</v>
      </c>
      <c r="F33" s="20">
        <v>25.4</v>
      </c>
      <c r="G33" s="21">
        <v>58</v>
      </c>
      <c r="H33" s="20">
        <f ca="1" t="shared" si="6"/>
        <v>14</v>
      </c>
      <c r="I33" s="20">
        <v>26.2</v>
      </c>
      <c r="J33" s="20">
        <v>43.8</v>
      </c>
      <c r="K33" s="21">
        <v>100</v>
      </c>
      <c r="L33" s="20">
        <f ca="1" t="shared" si="7"/>
        <v>3</v>
      </c>
      <c r="M33" s="20">
        <f ca="1" t="shared" si="0"/>
        <v>23</v>
      </c>
      <c r="N33" s="20">
        <v>38.9</v>
      </c>
      <c r="O33" s="21">
        <v>89</v>
      </c>
      <c r="P33" s="20">
        <f ca="1" t="shared" si="1"/>
        <v>16</v>
      </c>
      <c r="Q33" s="20">
        <v>19.7</v>
      </c>
      <c r="R33" s="20">
        <v>32.8</v>
      </c>
      <c r="S33" s="21">
        <v>75</v>
      </c>
      <c r="T33" s="20">
        <f ca="1" t="shared" si="8"/>
        <v>6</v>
      </c>
      <c r="U33" s="20">
        <f ca="1" t="shared" si="9"/>
        <v>8</v>
      </c>
      <c r="V33" s="20">
        <f ca="1" t="shared" si="10"/>
        <v>16</v>
      </c>
      <c r="W33" s="20">
        <f ca="1" t="shared" si="11"/>
        <v>30</v>
      </c>
      <c r="X33" s="20">
        <f ca="1" t="shared" si="12"/>
        <v>24</v>
      </c>
      <c r="Y33" s="20">
        <f ca="1" t="shared" si="13"/>
        <v>13</v>
      </c>
      <c r="Z33" s="20">
        <f ca="1" t="shared" si="14"/>
        <v>2</v>
      </c>
      <c r="AA33" s="20">
        <f ca="1" t="shared" si="2"/>
        <v>354</v>
      </c>
      <c r="AB33" s="22">
        <f ca="1" t="shared" si="3"/>
        <v>6.625</v>
      </c>
      <c r="AC33" s="23" t="str">
        <f ca="1" t="shared" si="4"/>
        <v>FAIL</v>
      </c>
    </row>
    <row r="34" spans="1:29">
      <c r="A34" s="17">
        <v>28</v>
      </c>
      <c r="B34" s="18" t="s">
        <v>80</v>
      </c>
      <c r="C34" s="19" t="s">
        <v>81</v>
      </c>
      <c r="D34" s="20">
        <f ca="1" t="shared" si="5"/>
        <v>11</v>
      </c>
      <c r="E34" s="20">
        <v>17.3</v>
      </c>
      <c r="F34" s="20">
        <v>28.9</v>
      </c>
      <c r="G34" s="21">
        <v>66</v>
      </c>
      <c r="H34" s="20">
        <f ca="1" t="shared" si="6"/>
        <v>12</v>
      </c>
      <c r="I34" s="20">
        <v>15.8</v>
      </c>
      <c r="J34" s="20">
        <v>26.2</v>
      </c>
      <c r="K34" s="21">
        <v>60</v>
      </c>
      <c r="L34" s="20">
        <f ca="1" t="shared" si="7"/>
        <v>1</v>
      </c>
      <c r="M34" s="20">
        <f ca="1" t="shared" si="0"/>
        <v>28</v>
      </c>
      <c r="N34" s="20">
        <v>42</v>
      </c>
      <c r="O34" s="21">
        <v>96</v>
      </c>
      <c r="P34" s="20">
        <f ca="1" t="shared" si="1"/>
        <v>9</v>
      </c>
      <c r="Q34" s="20">
        <v>15.5</v>
      </c>
      <c r="R34" s="20">
        <v>25.8</v>
      </c>
      <c r="S34" s="21">
        <v>59</v>
      </c>
      <c r="T34" s="20">
        <f ca="1" t="shared" si="8"/>
        <v>18</v>
      </c>
      <c r="U34" s="20">
        <f ca="1" t="shared" si="9"/>
        <v>14</v>
      </c>
      <c r="V34" s="20">
        <f ca="1" t="shared" si="10"/>
        <v>1</v>
      </c>
      <c r="W34" s="20">
        <f ca="1" t="shared" si="11"/>
        <v>33</v>
      </c>
      <c r="X34" s="20">
        <f ca="1" t="shared" si="12"/>
        <v>6</v>
      </c>
      <c r="Y34" s="20">
        <f ca="1" t="shared" si="13"/>
        <v>1</v>
      </c>
      <c r="Z34" s="20">
        <f ca="1" t="shared" si="14"/>
        <v>29</v>
      </c>
      <c r="AA34" s="20">
        <f ca="1" t="shared" si="2"/>
        <v>343</v>
      </c>
      <c r="AB34" s="22">
        <f ca="1" t="shared" si="3"/>
        <v>6.25</v>
      </c>
      <c r="AC34" s="23" t="str">
        <f ca="1" t="shared" si="4"/>
        <v>FAIL</v>
      </c>
    </row>
    <row r="35" spans="1:29">
      <c r="A35" s="17">
        <v>29</v>
      </c>
      <c r="B35" s="18" t="s">
        <v>82</v>
      </c>
      <c r="C35" s="19" t="s">
        <v>83</v>
      </c>
      <c r="D35" s="20">
        <f ca="1" t="shared" si="5"/>
        <v>1</v>
      </c>
      <c r="E35" s="20">
        <v>18.6</v>
      </c>
      <c r="F35" s="20">
        <v>31.1</v>
      </c>
      <c r="G35" s="21">
        <v>71</v>
      </c>
      <c r="H35" s="20">
        <f ca="1" t="shared" si="6"/>
        <v>18</v>
      </c>
      <c r="I35" s="20">
        <v>16.5</v>
      </c>
      <c r="J35" s="20">
        <v>27.6</v>
      </c>
      <c r="K35" s="21">
        <v>63</v>
      </c>
      <c r="L35" s="20">
        <f ca="1" t="shared" si="7"/>
        <v>9</v>
      </c>
      <c r="M35" s="20">
        <f ca="1" t="shared" si="0"/>
        <v>25</v>
      </c>
      <c r="N35" s="20">
        <v>22.3</v>
      </c>
      <c r="O35" s="21">
        <v>51</v>
      </c>
      <c r="P35" s="20">
        <f ca="1" t="shared" si="1"/>
        <v>2</v>
      </c>
      <c r="Q35" s="20">
        <v>16</v>
      </c>
      <c r="R35" s="20">
        <v>26.7</v>
      </c>
      <c r="S35" s="21">
        <v>61</v>
      </c>
      <c r="T35" s="20">
        <f ca="1" t="shared" si="8"/>
        <v>5</v>
      </c>
      <c r="U35" s="20">
        <f ca="1" t="shared" si="9"/>
        <v>27</v>
      </c>
      <c r="V35" s="20">
        <f ca="1" t="shared" si="10"/>
        <v>38</v>
      </c>
      <c r="W35" s="20">
        <f ca="1" t="shared" si="11"/>
        <v>70</v>
      </c>
      <c r="X35" s="20">
        <f ca="1" t="shared" si="12"/>
        <v>9</v>
      </c>
      <c r="Y35" s="20">
        <f ca="1" t="shared" si="13"/>
        <v>12</v>
      </c>
      <c r="Z35" s="20">
        <f ca="1" t="shared" si="14"/>
        <v>50</v>
      </c>
      <c r="AA35" s="20">
        <f ca="1" t="shared" si="2"/>
        <v>366</v>
      </c>
      <c r="AB35" s="22">
        <f ca="1" t="shared" si="3"/>
        <v>6.55</v>
      </c>
      <c r="AC35" s="23" t="str">
        <f ca="1" t="shared" si="4"/>
        <v>PASS</v>
      </c>
    </row>
    <row r="36" spans="1:29">
      <c r="A36" s="17">
        <v>30</v>
      </c>
      <c r="B36" s="18" t="s">
        <v>84</v>
      </c>
      <c r="C36" s="19" t="s">
        <v>85</v>
      </c>
      <c r="D36" s="20">
        <f ca="1" t="shared" si="5"/>
        <v>15</v>
      </c>
      <c r="E36" s="20">
        <v>20</v>
      </c>
      <c r="F36" s="20">
        <v>33.2</v>
      </c>
      <c r="G36" s="21">
        <v>76</v>
      </c>
      <c r="H36" s="20">
        <f ca="1" t="shared" si="6"/>
        <v>20</v>
      </c>
      <c r="I36" s="20">
        <v>11.6</v>
      </c>
      <c r="J36" s="20">
        <v>19.2</v>
      </c>
      <c r="K36" s="21">
        <v>44</v>
      </c>
      <c r="L36" s="20">
        <f ca="1" t="shared" si="7"/>
        <v>4</v>
      </c>
      <c r="M36" s="20">
        <f ca="1" t="shared" si="0"/>
        <v>16</v>
      </c>
      <c r="N36" s="20">
        <v>35.4</v>
      </c>
      <c r="O36" s="21">
        <v>81</v>
      </c>
      <c r="P36" s="20">
        <f ca="1" t="shared" si="1"/>
        <v>17</v>
      </c>
      <c r="Q36" s="20">
        <v>18.1</v>
      </c>
      <c r="R36" s="20">
        <v>30.2</v>
      </c>
      <c r="S36" s="21">
        <v>69</v>
      </c>
      <c r="T36" s="20">
        <f ca="1" t="shared" si="8"/>
        <v>5</v>
      </c>
      <c r="U36" s="20">
        <f ca="1" t="shared" si="9"/>
        <v>5</v>
      </c>
      <c r="V36" s="20">
        <f ca="1" t="shared" si="10"/>
        <v>13</v>
      </c>
      <c r="W36" s="20">
        <f ca="1" t="shared" si="11"/>
        <v>23</v>
      </c>
      <c r="X36" s="20">
        <f ca="1" t="shared" si="12"/>
        <v>10</v>
      </c>
      <c r="Y36" s="20">
        <f ca="1" t="shared" si="13"/>
        <v>9</v>
      </c>
      <c r="Z36" s="20">
        <f ca="1" t="shared" si="14"/>
        <v>15</v>
      </c>
      <c r="AA36" s="20">
        <f ca="1" t="shared" si="2"/>
        <v>308</v>
      </c>
      <c r="AB36" s="22">
        <f ca="1" t="shared" si="3"/>
        <v>5.68125</v>
      </c>
      <c r="AC36" s="23" t="str">
        <f ca="1" t="shared" si="4"/>
        <v>FAIL</v>
      </c>
    </row>
    <row r="37" spans="1:29">
      <c r="A37" s="17">
        <v>31</v>
      </c>
      <c r="B37" s="18" t="s">
        <v>86</v>
      </c>
      <c r="C37" s="19" t="s">
        <v>87</v>
      </c>
      <c r="D37" s="20">
        <f ca="1" t="shared" si="5"/>
        <v>13</v>
      </c>
      <c r="E37" s="20">
        <v>20</v>
      </c>
      <c r="F37" s="20">
        <v>33.2</v>
      </c>
      <c r="G37" s="21">
        <v>76</v>
      </c>
      <c r="H37" s="20">
        <f ca="1" t="shared" si="6"/>
        <v>7</v>
      </c>
      <c r="I37" s="20">
        <v>21.3</v>
      </c>
      <c r="J37" s="20">
        <v>35.4</v>
      </c>
      <c r="K37" s="21">
        <v>81</v>
      </c>
      <c r="L37" s="20">
        <f ca="1" t="shared" si="7"/>
        <v>12</v>
      </c>
      <c r="M37" s="20">
        <f ca="1" t="shared" si="0"/>
        <v>3</v>
      </c>
      <c r="N37" s="20">
        <v>26.2</v>
      </c>
      <c r="O37" s="21">
        <v>60</v>
      </c>
      <c r="P37" s="20">
        <f ca="1" t="shared" si="1"/>
        <v>4</v>
      </c>
      <c r="Q37" s="20">
        <v>18.1</v>
      </c>
      <c r="R37" s="20">
        <v>30.2</v>
      </c>
      <c r="S37" s="21">
        <v>69</v>
      </c>
      <c r="T37" s="20">
        <f ca="1" t="shared" si="8"/>
        <v>5</v>
      </c>
      <c r="U37" s="20">
        <f ca="1" t="shared" si="9"/>
        <v>22</v>
      </c>
      <c r="V37" s="20">
        <f ca="1" t="shared" si="10"/>
        <v>3</v>
      </c>
      <c r="W37" s="20">
        <f ca="1" t="shared" si="11"/>
        <v>30</v>
      </c>
      <c r="X37" s="20">
        <f ca="1" t="shared" si="12"/>
        <v>13</v>
      </c>
      <c r="Y37" s="20">
        <f ca="1" t="shared" si="13"/>
        <v>2</v>
      </c>
      <c r="Z37" s="20">
        <f ca="1" t="shared" si="14"/>
        <v>4</v>
      </c>
      <c r="AA37" s="20">
        <f ca="1" t="shared" si="2"/>
        <v>320</v>
      </c>
      <c r="AB37" s="22">
        <f ca="1" t="shared" si="3"/>
        <v>5.975</v>
      </c>
      <c r="AC37" s="23" t="str">
        <f ca="1" t="shared" si="4"/>
        <v>FAIL</v>
      </c>
    </row>
    <row r="38" spans="1:29">
      <c r="A38" s="17">
        <v>32</v>
      </c>
      <c r="B38" s="18" t="s">
        <v>88</v>
      </c>
      <c r="C38" s="19" t="s">
        <v>89</v>
      </c>
      <c r="D38" s="20">
        <f ca="1" t="shared" si="5"/>
        <v>5</v>
      </c>
      <c r="E38" s="20">
        <v>20.7</v>
      </c>
      <c r="F38" s="20">
        <v>34.6</v>
      </c>
      <c r="G38" s="21">
        <v>79</v>
      </c>
      <c r="H38" s="20">
        <f ca="1" t="shared" si="6"/>
        <v>20</v>
      </c>
      <c r="I38" s="20">
        <v>12.1</v>
      </c>
      <c r="J38" s="20">
        <v>20.1</v>
      </c>
      <c r="K38" s="21">
        <v>46</v>
      </c>
      <c r="L38" s="20">
        <f ca="1" t="shared" si="7"/>
        <v>18</v>
      </c>
      <c r="M38" s="20">
        <f ca="1" t="shared" si="0"/>
        <v>30</v>
      </c>
      <c r="N38" s="20">
        <v>37.6</v>
      </c>
      <c r="O38" s="21">
        <v>86</v>
      </c>
      <c r="P38" s="20">
        <f ca="1" t="shared" si="1"/>
        <v>17</v>
      </c>
      <c r="Q38" s="20">
        <v>20.2</v>
      </c>
      <c r="R38" s="20">
        <v>33.7</v>
      </c>
      <c r="S38" s="21">
        <v>77</v>
      </c>
      <c r="T38" s="20">
        <f ca="1" t="shared" si="8"/>
        <v>18</v>
      </c>
      <c r="U38" s="20">
        <f ca="1" t="shared" si="9"/>
        <v>24</v>
      </c>
      <c r="V38" s="20">
        <f ca="1" t="shared" si="10"/>
        <v>25</v>
      </c>
      <c r="W38" s="20">
        <f ca="1" t="shared" si="11"/>
        <v>67</v>
      </c>
      <c r="X38" s="20">
        <f ca="1" t="shared" si="12"/>
        <v>12</v>
      </c>
      <c r="Y38" s="20">
        <f ca="1" t="shared" si="13"/>
        <v>5</v>
      </c>
      <c r="Z38" s="20">
        <f ca="1" t="shared" si="14"/>
        <v>46</v>
      </c>
      <c r="AA38" s="20">
        <f ca="1" t="shared" si="2"/>
        <v>401</v>
      </c>
      <c r="AB38" s="22">
        <f ca="1" t="shared" si="3"/>
        <v>7.23125</v>
      </c>
      <c r="AC38" s="23" t="str">
        <f ca="1" t="shared" si="4"/>
        <v>PASS</v>
      </c>
    </row>
    <row r="39" spans="1:29">
      <c r="A39" s="17">
        <v>33</v>
      </c>
      <c r="B39" s="18" t="s">
        <v>90</v>
      </c>
      <c r="C39" s="19" t="s">
        <v>91</v>
      </c>
      <c r="D39" s="20">
        <f ca="1" t="shared" si="5"/>
        <v>14</v>
      </c>
      <c r="E39" s="20">
        <v>21.5</v>
      </c>
      <c r="F39" s="20">
        <v>35.9</v>
      </c>
      <c r="G39" s="21">
        <v>82</v>
      </c>
      <c r="H39" s="20">
        <f ca="1" t="shared" si="6"/>
        <v>5</v>
      </c>
      <c r="I39" s="20">
        <v>24.2</v>
      </c>
      <c r="J39" s="20">
        <v>40.2</v>
      </c>
      <c r="K39" s="21">
        <v>92</v>
      </c>
      <c r="L39" s="20">
        <f ca="1" t="shared" si="7"/>
        <v>8</v>
      </c>
      <c r="M39" s="20">
        <f ca="1" t="shared" si="0"/>
        <v>11</v>
      </c>
      <c r="N39" s="20">
        <v>35.9</v>
      </c>
      <c r="O39" s="21">
        <v>82</v>
      </c>
      <c r="P39" s="20">
        <f ca="1" t="shared" si="1"/>
        <v>20</v>
      </c>
      <c r="Q39" s="20">
        <v>21.8</v>
      </c>
      <c r="R39" s="20">
        <v>36.3</v>
      </c>
      <c r="S39" s="21">
        <v>83</v>
      </c>
      <c r="T39" s="20">
        <f ca="1" t="shared" si="8"/>
        <v>9</v>
      </c>
      <c r="U39" s="20">
        <f ca="1" t="shared" si="9"/>
        <v>26</v>
      </c>
      <c r="V39" s="20">
        <f ca="1" t="shared" si="10"/>
        <v>37</v>
      </c>
      <c r="W39" s="20">
        <f ca="1" t="shared" si="11"/>
        <v>72</v>
      </c>
      <c r="X39" s="20">
        <f ca="1" t="shared" si="12"/>
        <v>5</v>
      </c>
      <c r="Y39" s="20">
        <f ca="1" t="shared" si="13"/>
        <v>4</v>
      </c>
      <c r="Z39" s="20">
        <f ca="1" t="shared" si="14"/>
        <v>37</v>
      </c>
      <c r="AA39" s="20">
        <f ca="1" t="shared" si="2"/>
        <v>448</v>
      </c>
      <c r="AB39" s="22">
        <f ca="1" t="shared" si="3"/>
        <v>8.16875</v>
      </c>
      <c r="AC39" s="23" t="str">
        <f ca="1" t="shared" si="4"/>
        <v>PASS</v>
      </c>
    </row>
    <row r="40" spans="1:29">
      <c r="A40" s="17">
        <v>34</v>
      </c>
      <c r="B40" s="18" t="s">
        <v>92</v>
      </c>
      <c r="C40" s="19" t="s">
        <v>93</v>
      </c>
      <c r="D40" s="20">
        <f ca="1" t="shared" si="5"/>
        <v>14</v>
      </c>
      <c r="E40" s="20">
        <v>16.8</v>
      </c>
      <c r="F40" s="20">
        <v>28</v>
      </c>
      <c r="G40" s="21">
        <v>64</v>
      </c>
      <c r="H40" s="20">
        <f ca="1" t="shared" si="6"/>
        <v>13</v>
      </c>
      <c r="I40" s="20">
        <v>16.3</v>
      </c>
      <c r="J40" s="20">
        <v>27.1</v>
      </c>
      <c r="K40" s="21">
        <v>62</v>
      </c>
      <c r="L40" s="20">
        <f ca="1" t="shared" si="7"/>
        <v>1</v>
      </c>
      <c r="M40" s="20">
        <f ca="1" t="shared" si="0"/>
        <v>19</v>
      </c>
      <c r="N40" s="20">
        <v>28</v>
      </c>
      <c r="O40" s="21">
        <v>64</v>
      </c>
      <c r="P40" s="20">
        <f ca="1" t="shared" si="1"/>
        <v>4</v>
      </c>
      <c r="Q40" s="20">
        <v>18.4</v>
      </c>
      <c r="R40" s="20">
        <v>30.6</v>
      </c>
      <c r="S40" s="21">
        <v>70</v>
      </c>
      <c r="T40" s="20">
        <f ca="1" t="shared" si="8"/>
        <v>6</v>
      </c>
      <c r="U40" s="20">
        <f ca="1" t="shared" si="9"/>
        <v>20</v>
      </c>
      <c r="V40" s="20">
        <f ca="1" t="shared" si="10"/>
        <v>31</v>
      </c>
      <c r="W40" s="20">
        <f ca="1" t="shared" si="11"/>
        <v>57</v>
      </c>
      <c r="X40" s="20">
        <f ca="1" t="shared" si="12"/>
        <v>19</v>
      </c>
      <c r="Y40" s="20">
        <f ca="1" t="shared" si="13"/>
        <v>11</v>
      </c>
      <c r="Z40" s="20">
        <f ca="1" t="shared" si="14"/>
        <v>40</v>
      </c>
      <c r="AA40" s="20">
        <f ca="1" t="shared" ref="AA40:AA71" si="15">G40+K40+O40+S40+W40+Z40</f>
        <v>357</v>
      </c>
      <c r="AB40" s="22">
        <f ca="1" t="shared" ref="AB40:AB71" si="16">((G40/100*10*3)+(K40/100*10*3)+(O40/100*10*3)+(S40/100*10*3)+(W40/100*10*3)+(Z40/50*10*1))/16</f>
        <v>6.44375</v>
      </c>
      <c r="AC40" s="23" t="str">
        <f ca="1" t="shared" ref="AC40:AC71" si="17">IF(OR(G40&lt;40,K40&lt;40,O40&lt;40,S40&lt;40,W40&lt;40,Z40&lt;20),"FAIL","PASS")</f>
        <v>PASS</v>
      </c>
    </row>
    <row r="41" spans="1:29">
      <c r="A41" s="17">
        <v>35</v>
      </c>
      <c r="B41" s="18" t="s">
        <v>94</v>
      </c>
      <c r="C41" s="19" t="s">
        <v>95</v>
      </c>
      <c r="D41" s="20">
        <f ca="1" t="shared" si="5"/>
        <v>9</v>
      </c>
      <c r="E41" s="20">
        <v>19.7</v>
      </c>
      <c r="F41" s="20">
        <v>32.8</v>
      </c>
      <c r="G41" s="21">
        <v>75</v>
      </c>
      <c r="H41" s="20">
        <f ca="1" t="shared" si="6"/>
        <v>4</v>
      </c>
      <c r="I41" s="20">
        <v>21.3</v>
      </c>
      <c r="J41" s="20">
        <v>35.4</v>
      </c>
      <c r="K41" s="21">
        <v>81</v>
      </c>
      <c r="L41" s="20">
        <f ca="1" t="shared" si="7"/>
        <v>12</v>
      </c>
      <c r="M41" s="20">
        <f ca="1" t="shared" si="0"/>
        <v>2</v>
      </c>
      <c r="N41" s="20">
        <v>39.8</v>
      </c>
      <c r="O41" s="21">
        <v>91</v>
      </c>
      <c r="P41" s="20">
        <f ca="1" t="shared" si="1"/>
        <v>20</v>
      </c>
      <c r="Q41" s="20">
        <v>23.4</v>
      </c>
      <c r="R41" s="20">
        <v>38.9</v>
      </c>
      <c r="S41" s="21">
        <v>89</v>
      </c>
      <c r="T41" s="20">
        <f ca="1" t="shared" si="8"/>
        <v>18</v>
      </c>
      <c r="U41" s="20">
        <f ca="1" t="shared" si="9"/>
        <v>24</v>
      </c>
      <c r="V41" s="20">
        <f ca="1" t="shared" si="10"/>
        <v>1</v>
      </c>
      <c r="W41" s="20">
        <f ca="1" t="shared" ref="W41:W72" si="18">T41+U41+V41</f>
        <v>43</v>
      </c>
      <c r="X41" s="20">
        <f ca="1" t="shared" si="12"/>
        <v>25</v>
      </c>
      <c r="Y41" s="20">
        <f ca="1" t="shared" si="13"/>
        <v>19</v>
      </c>
      <c r="Z41" s="20">
        <f ca="1" t="shared" si="14"/>
        <v>22</v>
      </c>
      <c r="AA41" s="20">
        <f ca="1" t="shared" si="15"/>
        <v>401</v>
      </c>
      <c r="AB41" s="22">
        <f ca="1" t="shared" si="16"/>
        <v>7.38125</v>
      </c>
      <c r="AC41" s="23" t="str">
        <f ca="1" t="shared" si="17"/>
        <v>PASS</v>
      </c>
    </row>
    <row r="42" spans="1:29">
      <c r="A42" s="17">
        <v>36</v>
      </c>
      <c r="B42" s="18" t="s">
        <v>96</v>
      </c>
      <c r="C42" s="19" t="s">
        <v>97</v>
      </c>
      <c r="D42" s="20">
        <f ca="1" t="shared" si="5"/>
        <v>2</v>
      </c>
      <c r="E42" s="20">
        <v>20</v>
      </c>
      <c r="F42" s="20">
        <v>33.2</v>
      </c>
      <c r="G42" s="21">
        <v>76</v>
      </c>
      <c r="H42" s="20">
        <f ca="1" t="shared" si="6"/>
        <v>15</v>
      </c>
      <c r="I42" s="20">
        <v>25.5</v>
      </c>
      <c r="J42" s="20">
        <v>42.4</v>
      </c>
      <c r="K42" s="21">
        <v>97</v>
      </c>
      <c r="L42" s="20">
        <f ca="1" t="shared" si="7"/>
        <v>6</v>
      </c>
      <c r="M42" s="20">
        <f ca="1" t="shared" si="0"/>
        <v>21</v>
      </c>
      <c r="N42" s="20">
        <v>43.3</v>
      </c>
      <c r="O42" s="21">
        <v>99</v>
      </c>
      <c r="P42" s="20">
        <f ca="1" t="shared" si="1"/>
        <v>13</v>
      </c>
      <c r="Q42" s="20">
        <v>26.2</v>
      </c>
      <c r="R42" s="20">
        <v>43.8</v>
      </c>
      <c r="S42" s="21">
        <v>100</v>
      </c>
      <c r="T42" s="20">
        <f ca="1" t="shared" si="8"/>
        <v>17</v>
      </c>
      <c r="U42" s="20">
        <f ca="1" t="shared" si="9"/>
        <v>11</v>
      </c>
      <c r="V42" s="20">
        <f ca="1" t="shared" si="10"/>
        <v>22</v>
      </c>
      <c r="W42" s="20">
        <f ca="1" t="shared" si="18"/>
        <v>50</v>
      </c>
      <c r="X42" s="20">
        <f ca="1" t="shared" si="12"/>
        <v>13</v>
      </c>
      <c r="Y42" s="20">
        <f ca="1" t="shared" si="13"/>
        <v>24</v>
      </c>
      <c r="Z42" s="20">
        <f ca="1" t="shared" si="14"/>
        <v>50</v>
      </c>
      <c r="AA42" s="20">
        <f ca="1" t="shared" si="15"/>
        <v>472</v>
      </c>
      <c r="AB42" s="22">
        <f ca="1" t="shared" si="16"/>
        <v>8.5375</v>
      </c>
      <c r="AC42" s="23" t="str">
        <f ca="1" t="shared" si="17"/>
        <v>PASS</v>
      </c>
    </row>
    <row r="43" spans="1:29">
      <c r="A43" s="17">
        <v>37</v>
      </c>
      <c r="B43" s="18" t="s">
        <v>98</v>
      </c>
      <c r="C43" s="19" t="s">
        <v>99</v>
      </c>
      <c r="D43" s="20">
        <f ca="1" t="shared" si="5"/>
        <v>12</v>
      </c>
      <c r="E43" s="20">
        <v>16.8</v>
      </c>
      <c r="F43" s="20">
        <v>28</v>
      </c>
      <c r="G43" s="21">
        <v>64</v>
      </c>
      <c r="H43" s="20">
        <f ca="1" t="shared" si="6"/>
        <v>1</v>
      </c>
      <c r="I43" s="20">
        <v>18.4</v>
      </c>
      <c r="J43" s="20">
        <v>30.6</v>
      </c>
      <c r="K43" s="21">
        <v>70</v>
      </c>
      <c r="L43" s="20">
        <f ca="1" t="shared" si="7"/>
        <v>3</v>
      </c>
      <c r="M43" s="20">
        <f ca="1" t="shared" si="0"/>
        <v>22</v>
      </c>
      <c r="N43" s="20">
        <v>23.2</v>
      </c>
      <c r="O43" s="21">
        <v>53</v>
      </c>
      <c r="P43" s="20">
        <f ca="1" t="shared" si="1"/>
        <v>8</v>
      </c>
      <c r="Q43" s="20">
        <v>15.5</v>
      </c>
      <c r="R43" s="20">
        <v>25.8</v>
      </c>
      <c r="S43" s="21">
        <v>59</v>
      </c>
      <c r="T43" s="20">
        <f ca="1" t="shared" si="8"/>
        <v>11</v>
      </c>
      <c r="U43" s="20">
        <f ca="1" t="shared" si="9"/>
        <v>13</v>
      </c>
      <c r="V43" s="20">
        <f ca="1" t="shared" si="10"/>
        <v>13</v>
      </c>
      <c r="W43" s="20">
        <f ca="1" t="shared" si="18"/>
        <v>37</v>
      </c>
      <c r="X43" s="20">
        <f ca="1" t="shared" si="12"/>
        <v>2</v>
      </c>
      <c r="Y43" s="20">
        <f ca="1" t="shared" si="13"/>
        <v>16</v>
      </c>
      <c r="Z43" s="20">
        <f ca="1" t="shared" si="14"/>
        <v>45</v>
      </c>
      <c r="AA43" s="20">
        <f ca="1" t="shared" si="15"/>
        <v>328</v>
      </c>
      <c r="AB43" s="22">
        <f ca="1" t="shared" si="16"/>
        <v>5.86875</v>
      </c>
      <c r="AC43" s="23" t="str">
        <f ca="1" t="shared" si="17"/>
        <v>FAIL</v>
      </c>
    </row>
    <row r="44" spans="1:29">
      <c r="A44" s="17">
        <v>38</v>
      </c>
      <c r="B44" s="18" t="s">
        <v>100</v>
      </c>
      <c r="C44" s="19" t="s">
        <v>101</v>
      </c>
      <c r="D44" s="20">
        <f ca="1" t="shared" si="5"/>
        <v>10</v>
      </c>
      <c r="E44" s="20">
        <v>22.8</v>
      </c>
      <c r="F44" s="20">
        <v>38.1</v>
      </c>
      <c r="G44" s="21">
        <v>87</v>
      </c>
      <c r="H44" s="20">
        <f ca="1" t="shared" si="6"/>
        <v>12</v>
      </c>
      <c r="I44" s="20">
        <v>26.2</v>
      </c>
      <c r="J44" s="20">
        <v>43.8</v>
      </c>
      <c r="K44" s="21">
        <v>100</v>
      </c>
      <c r="L44" s="20">
        <f ca="1" t="shared" si="7"/>
        <v>3</v>
      </c>
      <c r="M44" s="20">
        <f ca="1" t="shared" si="0"/>
        <v>18</v>
      </c>
      <c r="N44" s="20">
        <v>39.8</v>
      </c>
      <c r="O44" s="21">
        <v>91</v>
      </c>
      <c r="P44" s="20">
        <f ca="1" t="shared" si="1"/>
        <v>13</v>
      </c>
      <c r="Q44" s="20">
        <v>21.3</v>
      </c>
      <c r="R44" s="20">
        <v>35.4</v>
      </c>
      <c r="S44" s="21">
        <v>81</v>
      </c>
      <c r="T44" s="20">
        <f ca="1" t="shared" si="8"/>
        <v>18</v>
      </c>
      <c r="U44" s="20">
        <f ca="1" t="shared" si="9"/>
        <v>21</v>
      </c>
      <c r="V44" s="20">
        <f ca="1" t="shared" si="10"/>
        <v>43</v>
      </c>
      <c r="W44" s="20">
        <f ca="1" t="shared" si="18"/>
        <v>82</v>
      </c>
      <c r="X44" s="20">
        <f ca="1" t="shared" si="12"/>
        <v>15</v>
      </c>
      <c r="Y44" s="20">
        <f ca="1" t="shared" si="13"/>
        <v>14</v>
      </c>
      <c r="Z44" s="20">
        <f ca="1" t="shared" si="14"/>
        <v>39</v>
      </c>
      <c r="AA44" s="20">
        <f ca="1" t="shared" si="15"/>
        <v>480</v>
      </c>
      <c r="AB44" s="22">
        <f ca="1" t="shared" si="16"/>
        <v>8.75625</v>
      </c>
      <c r="AC44" s="23" t="str">
        <f ca="1" t="shared" si="17"/>
        <v>PASS</v>
      </c>
    </row>
    <row r="45" spans="1:29">
      <c r="A45" s="17">
        <v>39</v>
      </c>
      <c r="B45" s="18" t="s">
        <v>102</v>
      </c>
      <c r="C45" s="19" t="s">
        <v>103</v>
      </c>
      <c r="D45" s="20">
        <f ca="1" t="shared" si="5"/>
        <v>14</v>
      </c>
      <c r="E45" s="20">
        <v>22.6</v>
      </c>
      <c r="F45" s="20">
        <v>37.6</v>
      </c>
      <c r="G45" s="21">
        <v>86</v>
      </c>
      <c r="H45" s="20">
        <f ca="1" t="shared" si="6"/>
        <v>16</v>
      </c>
      <c r="I45" s="20">
        <v>21.8</v>
      </c>
      <c r="J45" s="20">
        <v>36.3</v>
      </c>
      <c r="K45" s="21">
        <v>83</v>
      </c>
      <c r="L45" s="20">
        <f ca="1" t="shared" si="7"/>
        <v>13</v>
      </c>
      <c r="M45" s="20">
        <f ca="1" t="shared" si="0"/>
        <v>16</v>
      </c>
      <c r="N45" s="20">
        <v>38.1</v>
      </c>
      <c r="O45" s="21">
        <v>87</v>
      </c>
      <c r="P45" s="20">
        <f ca="1" t="shared" si="1"/>
        <v>3</v>
      </c>
      <c r="Q45" s="20">
        <v>15.2</v>
      </c>
      <c r="R45" s="20">
        <v>25.4</v>
      </c>
      <c r="S45" s="21">
        <v>58</v>
      </c>
      <c r="T45" s="20">
        <f ca="1" t="shared" si="8"/>
        <v>9</v>
      </c>
      <c r="U45" s="20">
        <f ca="1" t="shared" si="9"/>
        <v>13</v>
      </c>
      <c r="V45" s="20">
        <f ca="1" t="shared" si="10"/>
        <v>47</v>
      </c>
      <c r="W45" s="20">
        <f ca="1" t="shared" si="18"/>
        <v>69</v>
      </c>
      <c r="X45" s="20">
        <f ca="1" t="shared" si="12"/>
        <v>25</v>
      </c>
      <c r="Y45" s="20">
        <f ca="1" t="shared" si="13"/>
        <v>22</v>
      </c>
      <c r="Z45" s="20">
        <f ca="1" t="shared" si="14"/>
        <v>27</v>
      </c>
      <c r="AA45" s="20">
        <f ca="1" t="shared" si="15"/>
        <v>410</v>
      </c>
      <c r="AB45" s="22">
        <f ca="1" t="shared" si="16"/>
        <v>7.51875</v>
      </c>
      <c r="AC45" s="23" t="str">
        <f ca="1" t="shared" si="17"/>
        <v>PASS</v>
      </c>
    </row>
    <row r="46" spans="1:29">
      <c r="A46" s="17">
        <v>40</v>
      </c>
      <c r="B46" s="18" t="s">
        <v>104</v>
      </c>
      <c r="C46" s="19" t="s">
        <v>105</v>
      </c>
      <c r="D46" s="20">
        <f ca="1" t="shared" si="5"/>
        <v>6</v>
      </c>
      <c r="E46" s="20">
        <v>17.1</v>
      </c>
      <c r="F46" s="20">
        <v>28.4</v>
      </c>
      <c r="G46" s="21">
        <v>65</v>
      </c>
      <c r="H46" s="20">
        <f ca="1" t="shared" si="6"/>
        <v>15</v>
      </c>
      <c r="I46" s="20">
        <v>11</v>
      </c>
      <c r="J46" s="20">
        <v>18.4</v>
      </c>
      <c r="K46" s="21">
        <v>42</v>
      </c>
      <c r="L46" s="20">
        <f ca="1" t="shared" si="7"/>
        <v>6</v>
      </c>
      <c r="M46" s="20">
        <f ca="1" t="shared" si="0"/>
        <v>22</v>
      </c>
      <c r="N46" s="20">
        <v>34.1</v>
      </c>
      <c r="O46" s="21">
        <v>78</v>
      </c>
      <c r="P46" s="20">
        <f ca="1" t="shared" si="1"/>
        <v>17</v>
      </c>
      <c r="Q46" s="20">
        <v>11</v>
      </c>
      <c r="R46" s="20">
        <v>18.4</v>
      </c>
      <c r="S46" s="21">
        <v>42</v>
      </c>
      <c r="T46" s="20">
        <f ca="1" t="shared" si="8"/>
        <v>12</v>
      </c>
      <c r="U46" s="20">
        <f ca="1" t="shared" si="9"/>
        <v>15</v>
      </c>
      <c r="V46" s="20">
        <f ca="1" t="shared" si="10"/>
        <v>20</v>
      </c>
      <c r="W46" s="20">
        <f ca="1" t="shared" si="18"/>
        <v>47</v>
      </c>
      <c r="X46" s="20">
        <f ca="1" t="shared" si="12"/>
        <v>17</v>
      </c>
      <c r="Y46" s="20">
        <f ca="1" t="shared" si="13"/>
        <v>19</v>
      </c>
      <c r="Z46" s="20">
        <f ca="1" t="shared" si="14"/>
        <v>25</v>
      </c>
      <c r="AA46" s="20">
        <f ca="1" t="shared" si="15"/>
        <v>299</v>
      </c>
      <c r="AB46" s="22">
        <f ca="1" t="shared" si="16"/>
        <v>5.45</v>
      </c>
      <c r="AC46" s="23" t="str">
        <f ca="1" t="shared" si="17"/>
        <v>PASS</v>
      </c>
    </row>
    <row r="47" spans="1:29">
      <c r="A47" s="17">
        <v>41</v>
      </c>
      <c r="B47" s="18" t="s">
        <v>106</v>
      </c>
      <c r="C47" s="19" t="s">
        <v>107</v>
      </c>
      <c r="D47" s="20">
        <f ca="1" t="shared" si="5"/>
        <v>14</v>
      </c>
      <c r="E47" s="20">
        <v>21.3</v>
      </c>
      <c r="F47" s="20">
        <v>35.4</v>
      </c>
      <c r="G47" s="21">
        <v>81</v>
      </c>
      <c r="H47" s="20">
        <f ca="1" t="shared" si="6"/>
        <v>10</v>
      </c>
      <c r="I47" s="20">
        <v>21.5</v>
      </c>
      <c r="J47" s="20">
        <v>35.9</v>
      </c>
      <c r="K47" s="21">
        <v>82</v>
      </c>
      <c r="L47" s="20">
        <f ca="1" t="shared" si="7"/>
        <v>3</v>
      </c>
      <c r="M47" s="20">
        <f ca="1" t="shared" si="0"/>
        <v>6</v>
      </c>
      <c r="N47" s="20">
        <v>22.8</v>
      </c>
      <c r="O47" s="21">
        <v>52</v>
      </c>
      <c r="P47" s="20">
        <f ca="1" t="shared" si="1"/>
        <v>13</v>
      </c>
      <c r="Q47" s="20">
        <v>22.3</v>
      </c>
      <c r="R47" s="20">
        <v>37.2</v>
      </c>
      <c r="S47" s="21">
        <v>85</v>
      </c>
      <c r="T47" s="20">
        <f ca="1" t="shared" si="8"/>
        <v>6</v>
      </c>
      <c r="U47" s="20">
        <f ca="1" t="shared" si="9"/>
        <v>18</v>
      </c>
      <c r="V47" s="20">
        <f ca="1" t="shared" si="10"/>
        <v>1</v>
      </c>
      <c r="W47" s="20">
        <f ca="1" t="shared" si="18"/>
        <v>25</v>
      </c>
      <c r="X47" s="20">
        <f ca="1" t="shared" si="12"/>
        <v>9</v>
      </c>
      <c r="Y47" s="20">
        <f ca="1" t="shared" si="13"/>
        <v>18</v>
      </c>
      <c r="Z47" s="20">
        <f ca="1" t="shared" si="14"/>
        <v>6</v>
      </c>
      <c r="AA47" s="20">
        <f ca="1" t="shared" si="15"/>
        <v>331</v>
      </c>
      <c r="AB47" s="22">
        <f ca="1" t="shared" si="16"/>
        <v>6.16875</v>
      </c>
      <c r="AC47" s="23" t="str">
        <f ca="1" t="shared" si="17"/>
        <v>FAIL</v>
      </c>
    </row>
    <row r="48" spans="1:29">
      <c r="A48" s="17">
        <v>42</v>
      </c>
      <c r="B48" s="18" t="s">
        <v>108</v>
      </c>
      <c r="C48" s="19" t="s">
        <v>109</v>
      </c>
      <c r="D48" s="20">
        <f ca="1" t="shared" si="5"/>
        <v>12</v>
      </c>
      <c r="E48" s="20">
        <v>20</v>
      </c>
      <c r="F48" s="20">
        <v>33.2</v>
      </c>
      <c r="G48" s="21">
        <v>76</v>
      </c>
      <c r="H48" s="20">
        <f ca="1" t="shared" si="6"/>
        <v>7</v>
      </c>
      <c r="I48" s="20">
        <v>19.4</v>
      </c>
      <c r="J48" s="20">
        <v>32.4</v>
      </c>
      <c r="K48" s="21">
        <v>74</v>
      </c>
      <c r="L48" s="20">
        <f ca="1" t="shared" si="7"/>
        <v>5</v>
      </c>
      <c r="M48" s="20">
        <f ca="1" t="shared" si="0"/>
        <v>8</v>
      </c>
      <c r="N48" s="20">
        <v>29.3</v>
      </c>
      <c r="O48" s="21">
        <v>67</v>
      </c>
      <c r="P48" s="20">
        <f ca="1" t="shared" si="1"/>
        <v>14</v>
      </c>
      <c r="Q48" s="20">
        <v>22.8</v>
      </c>
      <c r="R48" s="20">
        <v>38.1</v>
      </c>
      <c r="S48" s="21">
        <v>87</v>
      </c>
      <c r="T48" s="20">
        <f ca="1" t="shared" si="8"/>
        <v>16</v>
      </c>
      <c r="U48" s="20">
        <f ca="1" t="shared" si="9"/>
        <v>11</v>
      </c>
      <c r="V48" s="20">
        <f ca="1" t="shared" si="10"/>
        <v>36</v>
      </c>
      <c r="W48" s="20">
        <f ca="1" t="shared" si="18"/>
        <v>63</v>
      </c>
      <c r="X48" s="20">
        <f ca="1" t="shared" si="12"/>
        <v>20</v>
      </c>
      <c r="Y48" s="20">
        <f ca="1" t="shared" si="13"/>
        <v>21</v>
      </c>
      <c r="Z48" s="20">
        <f ca="1" t="shared" si="14"/>
        <v>27</v>
      </c>
      <c r="AA48" s="20">
        <f ca="1" t="shared" si="15"/>
        <v>394</v>
      </c>
      <c r="AB48" s="22">
        <f ca="1" t="shared" si="16"/>
        <v>7.21875</v>
      </c>
      <c r="AC48" s="23" t="str">
        <f ca="1" t="shared" si="17"/>
        <v>PASS</v>
      </c>
    </row>
    <row r="49" spans="1:29">
      <c r="A49" s="17">
        <v>43</v>
      </c>
      <c r="B49" s="18" t="s">
        <v>110</v>
      </c>
      <c r="C49" s="19" t="s">
        <v>111</v>
      </c>
      <c r="D49" s="20">
        <f ca="1" t="shared" si="5"/>
        <v>9</v>
      </c>
      <c r="E49" s="20">
        <v>8.1</v>
      </c>
      <c r="F49" s="20">
        <v>13.6</v>
      </c>
      <c r="G49" s="21">
        <v>31</v>
      </c>
      <c r="H49" s="20">
        <f ca="1" t="shared" si="6"/>
        <v>5</v>
      </c>
      <c r="I49" s="20">
        <v>15.5</v>
      </c>
      <c r="J49" s="20">
        <v>25.8</v>
      </c>
      <c r="K49" s="21">
        <v>59</v>
      </c>
      <c r="L49" s="20">
        <f ca="1" t="shared" si="7"/>
        <v>13</v>
      </c>
      <c r="M49" s="20">
        <f ca="1" t="shared" si="0"/>
        <v>7</v>
      </c>
      <c r="N49" s="20">
        <v>32.4</v>
      </c>
      <c r="O49" s="21">
        <v>74</v>
      </c>
      <c r="P49" s="20">
        <f ca="1" t="shared" si="1"/>
        <v>2</v>
      </c>
      <c r="Q49" s="20">
        <v>16.5</v>
      </c>
      <c r="R49" s="20">
        <v>27.6</v>
      </c>
      <c r="S49" s="21">
        <v>63</v>
      </c>
      <c r="T49" s="20">
        <f ca="1" t="shared" si="8"/>
        <v>14</v>
      </c>
      <c r="U49" s="20">
        <f ca="1" t="shared" si="9"/>
        <v>27</v>
      </c>
      <c r="V49" s="20">
        <f ca="1" t="shared" si="10"/>
        <v>20</v>
      </c>
      <c r="W49" s="20">
        <f ca="1" t="shared" si="18"/>
        <v>61</v>
      </c>
      <c r="X49" s="20">
        <f ca="1" t="shared" si="12"/>
        <v>22</v>
      </c>
      <c r="Y49" s="20">
        <f ca="1" t="shared" si="13"/>
        <v>8</v>
      </c>
      <c r="Z49" s="20">
        <f ca="1" t="shared" si="14"/>
        <v>19</v>
      </c>
      <c r="AA49" s="20">
        <f ca="1" t="shared" si="15"/>
        <v>307</v>
      </c>
      <c r="AB49" s="22">
        <f ca="1" t="shared" si="16"/>
        <v>5.6375</v>
      </c>
      <c r="AC49" s="23" t="str">
        <f ca="1" t="shared" si="17"/>
        <v>FAIL</v>
      </c>
    </row>
    <row r="50" spans="1:29">
      <c r="A50" s="17">
        <v>44</v>
      </c>
      <c r="B50" s="18" t="s">
        <v>112</v>
      </c>
      <c r="C50" s="19" t="s">
        <v>113</v>
      </c>
      <c r="D50" s="20">
        <f ca="1" t="shared" si="5"/>
        <v>3</v>
      </c>
      <c r="E50" s="20">
        <v>10.5</v>
      </c>
      <c r="F50" s="20">
        <v>17.5</v>
      </c>
      <c r="G50" s="21">
        <v>40</v>
      </c>
      <c r="H50" s="20">
        <f ca="1" t="shared" si="6"/>
        <v>8</v>
      </c>
      <c r="I50" s="20">
        <v>11.8</v>
      </c>
      <c r="J50" s="20">
        <v>19.7</v>
      </c>
      <c r="K50" s="21">
        <v>45</v>
      </c>
      <c r="L50" s="20">
        <f ca="1" t="shared" si="7"/>
        <v>14</v>
      </c>
      <c r="M50" s="20">
        <f ca="1" t="shared" si="0"/>
        <v>13</v>
      </c>
      <c r="N50" s="20">
        <v>24.5</v>
      </c>
      <c r="O50" s="21">
        <v>56</v>
      </c>
      <c r="P50" s="20">
        <f ca="1" t="shared" si="1"/>
        <v>18</v>
      </c>
      <c r="Q50" s="20">
        <v>13.1</v>
      </c>
      <c r="R50" s="20">
        <v>21.9</v>
      </c>
      <c r="S50" s="21">
        <v>50</v>
      </c>
      <c r="T50" s="20">
        <f ca="1" t="shared" si="8"/>
        <v>9</v>
      </c>
      <c r="U50" s="20">
        <f ca="1" t="shared" si="9"/>
        <v>14</v>
      </c>
      <c r="V50" s="20">
        <f ca="1" t="shared" si="10"/>
        <v>15</v>
      </c>
      <c r="W50" s="20">
        <f ca="1" t="shared" si="18"/>
        <v>38</v>
      </c>
      <c r="X50" s="20">
        <f ca="1" t="shared" si="12"/>
        <v>15</v>
      </c>
      <c r="Y50" s="20">
        <f ca="1" t="shared" si="13"/>
        <v>19</v>
      </c>
      <c r="Z50" s="20">
        <f ca="1" t="shared" si="14"/>
        <v>38</v>
      </c>
      <c r="AA50" s="20">
        <f ca="1" t="shared" si="15"/>
        <v>267</v>
      </c>
      <c r="AB50" s="22">
        <f ca="1" t="shared" si="16"/>
        <v>4.76875</v>
      </c>
      <c r="AC50" s="23" t="str">
        <f ca="1" t="shared" si="17"/>
        <v>FAIL</v>
      </c>
    </row>
    <row r="51" spans="1:29">
      <c r="A51" s="17">
        <v>45</v>
      </c>
      <c r="B51" s="18" t="s">
        <v>114</v>
      </c>
      <c r="C51" s="19" t="s">
        <v>115</v>
      </c>
      <c r="D51" s="20">
        <f ca="1" t="shared" si="5"/>
        <v>5</v>
      </c>
      <c r="E51" s="20">
        <v>26.2</v>
      </c>
      <c r="F51" s="20">
        <v>43.8</v>
      </c>
      <c r="G51" s="21">
        <v>100</v>
      </c>
      <c r="H51" s="20">
        <f ca="1" t="shared" si="6"/>
        <v>16</v>
      </c>
      <c r="I51" s="20">
        <v>26.2</v>
      </c>
      <c r="J51" s="20">
        <v>43.8</v>
      </c>
      <c r="K51" s="21">
        <v>100</v>
      </c>
      <c r="L51" s="20">
        <f ca="1" t="shared" si="7"/>
        <v>14</v>
      </c>
      <c r="M51" s="20">
        <f ca="1" t="shared" si="0"/>
        <v>3</v>
      </c>
      <c r="N51" s="20">
        <v>43.8</v>
      </c>
      <c r="O51" s="21">
        <v>100</v>
      </c>
      <c r="P51" s="20">
        <f ca="1" t="shared" si="1"/>
        <v>12</v>
      </c>
      <c r="Q51" s="20">
        <v>26.2</v>
      </c>
      <c r="R51" s="20">
        <v>43.8</v>
      </c>
      <c r="S51" s="21">
        <v>100</v>
      </c>
      <c r="T51" s="20">
        <f ca="1" t="shared" si="8"/>
        <v>16</v>
      </c>
      <c r="U51" s="20">
        <f ca="1" t="shared" si="9"/>
        <v>27</v>
      </c>
      <c r="V51" s="20">
        <f ca="1" t="shared" si="10"/>
        <v>24</v>
      </c>
      <c r="W51" s="20">
        <f ca="1" t="shared" si="18"/>
        <v>67</v>
      </c>
      <c r="X51" s="20">
        <f ca="1" t="shared" si="12"/>
        <v>25</v>
      </c>
      <c r="Y51" s="20">
        <f ca="1" t="shared" si="13"/>
        <v>4</v>
      </c>
      <c r="Z51" s="20">
        <f ca="1" t="shared" si="14"/>
        <v>6</v>
      </c>
      <c r="AA51" s="20">
        <f ca="1" t="shared" si="15"/>
        <v>473</v>
      </c>
      <c r="AB51" s="22">
        <f ca="1" t="shared" si="16"/>
        <v>8.83125</v>
      </c>
      <c r="AC51" s="23" t="str">
        <f ca="1" t="shared" si="17"/>
        <v>FAIL</v>
      </c>
    </row>
    <row r="52" spans="1:29">
      <c r="A52" s="17">
        <v>46</v>
      </c>
      <c r="B52" s="18" t="s">
        <v>116</v>
      </c>
      <c r="C52" s="19" t="s">
        <v>117</v>
      </c>
      <c r="D52" s="20">
        <f ca="1" t="shared" si="5"/>
        <v>10</v>
      </c>
      <c r="E52" s="20">
        <v>18.4</v>
      </c>
      <c r="F52" s="20">
        <v>30.6</v>
      </c>
      <c r="G52" s="21">
        <v>70</v>
      </c>
      <c r="H52" s="20">
        <f ca="1" t="shared" si="6"/>
        <v>14</v>
      </c>
      <c r="I52" s="20">
        <v>18.9</v>
      </c>
      <c r="J52" s="20">
        <v>31.5</v>
      </c>
      <c r="K52" s="21">
        <v>72</v>
      </c>
      <c r="L52" s="20">
        <f ca="1" t="shared" si="7"/>
        <v>5</v>
      </c>
      <c r="M52" s="20">
        <f ca="1" t="shared" si="0"/>
        <v>14</v>
      </c>
      <c r="N52" s="20">
        <v>27.6</v>
      </c>
      <c r="O52" s="21">
        <v>63</v>
      </c>
      <c r="P52" s="20">
        <f ca="1" t="shared" si="1"/>
        <v>5</v>
      </c>
      <c r="Q52" s="20">
        <v>20.2</v>
      </c>
      <c r="R52" s="20">
        <v>33.7</v>
      </c>
      <c r="S52" s="21">
        <v>77</v>
      </c>
      <c r="T52" s="20">
        <f ca="1" t="shared" si="8"/>
        <v>16</v>
      </c>
      <c r="U52" s="20">
        <f ca="1" t="shared" si="9"/>
        <v>19</v>
      </c>
      <c r="V52" s="20">
        <f ca="1" t="shared" si="10"/>
        <v>37</v>
      </c>
      <c r="W52" s="20">
        <f ca="1" t="shared" si="18"/>
        <v>72</v>
      </c>
      <c r="X52" s="20">
        <f ca="1" t="shared" si="12"/>
        <v>16</v>
      </c>
      <c r="Y52" s="20">
        <f ca="1" t="shared" si="13"/>
        <v>14</v>
      </c>
      <c r="Z52" s="20">
        <f ca="1" t="shared" si="14"/>
        <v>3</v>
      </c>
      <c r="AA52" s="20">
        <f ca="1" t="shared" si="15"/>
        <v>357</v>
      </c>
      <c r="AB52" s="22">
        <f ca="1" t="shared" si="16"/>
        <v>6.675</v>
      </c>
      <c r="AC52" s="23" t="str">
        <f ca="1" t="shared" si="17"/>
        <v>FAIL</v>
      </c>
    </row>
    <row r="53" spans="1:29">
      <c r="A53" s="17">
        <v>47</v>
      </c>
      <c r="B53" s="18" t="s">
        <v>118</v>
      </c>
      <c r="C53" s="19" t="s">
        <v>119</v>
      </c>
      <c r="D53" s="20">
        <f ca="1" t="shared" si="5"/>
        <v>4</v>
      </c>
      <c r="E53" s="20">
        <v>22.8</v>
      </c>
      <c r="F53" s="20">
        <v>38.1</v>
      </c>
      <c r="G53" s="21">
        <v>87</v>
      </c>
      <c r="H53" s="20">
        <f ca="1" t="shared" si="6"/>
        <v>16</v>
      </c>
      <c r="I53" s="20">
        <v>19.7</v>
      </c>
      <c r="J53" s="20">
        <v>32.8</v>
      </c>
      <c r="K53" s="21">
        <v>75</v>
      </c>
      <c r="L53" s="20">
        <f ca="1" t="shared" si="7"/>
        <v>16</v>
      </c>
      <c r="M53" s="20">
        <f ca="1" t="shared" si="0"/>
        <v>27</v>
      </c>
      <c r="N53" s="20">
        <v>31.5</v>
      </c>
      <c r="O53" s="21">
        <v>72</v>
      </c>
      <c r="P53" s="20">
        <f ca="1" t="shared" si="1"/>
        <v>10</v>
      </c>
      <c r="Q53" s="20">
        <v>11.8</v>
      </c>
      <c r="R53" s="20">
        <v>19.7</v>
      </c>
      <c r="S53" s="21">
        <v>45</v>
      </c>
      <c r="T53" s="20">
        <f ca="1" t="shared" si="8"/>
        <v>12</v>
      </c>
      <c r="U53" s="20">
        <f ca="1" t="shared" si="9"/>
        <v>12</v>
      </c>
      <c r="V53" s="20">
        <f ca="1" t="shared" si="10"/>
        <v>6</v>
      </c>
      <c r="W53" s="20">
        <f ca="1" t="shared" si="18"/>
        <v>30</v>
      </c>
      <c r="X53" s="20">
        <f ca="1" t="shared" si="12"/>
        <v>18</v>
      </c>
      <c r="Y53" s="20">
        <f ca="1" t="shared" si="13"/>
        <v>2</v>
      </c>
      <c r="Z53" s="20">
        <f ca="1" t="shared" si="14"/>
        <v>15</v>
      </c>
      <c r="AA53" s="20">
        <f ca="1" t="shared" si="15"/>
        <v>324</v>
      </c>
      <c r="AB53" s="22">
        <f ca="1" t="shared" si="16"/>
        <v>5.98125</v>
      </c>
      <c r="AC53" s="23" t="str">
        <f ca="1" t="shared" si="17"/>
        <v>FAIL</v>
      </c>
    </row>
    <row r="54" spans="1:29">
      <c r="A54" s="17">
        <v>48</v>
      </c>
      <c r="B54" s="18" t="s">
        <v>120</v>
      </c>
      <c r="C54" s="19" t="s">
        <v>121</v>
      </c>
      <c r="D54" s="20">
        <f ca="1" t="shared" si="5"/>
        <v>2</v>
      </c>
      <c r="E54" s="20">
        <v>25.2</v>
      </c>
      <c r="F54" s="20">
        <v>42</v>
      </c>
      <c r="G54" s="21">
        <v>96</v>
      </c>
      <c r="H54" s="20">
        <f ca="1" t="shared" si="6"/>
        <v>4</v>
      </c>
      <c r="I54" s="20">
        <v>21.5</v>
      </c>
      <c r="J54" s="20">
        <v>35.9</v>
      </c>
      <c r="K54" s="21">
        <v>82</v>
      </c>
      <c r="L54" s="20">
        <f ca="1" t="shared" si="7"/>
        <v>2</v>
      </c>
      <c r="M54" s="20">
        <f ca="1" t="shared" si="0"/>
        <v>21</v>
      </c>
      <c r="N54" s="20">
        <v>31.5</v>
      </c>
      <c r="O54" s="21">
        <v>72</v>
      </c>
      <c r="P54" s="20">
        <f ca="1" t="shared" si="1"/>
        <v>18</v>
      </c>
      <c r="Q54" s="20">
        <v>19.7</v>
      </c>
      <c r="R54" s="20">
        <v>32.8</v>
      </c>
      <c r="S54" s="21">
        <v>75</v>
      </c>
      <c r="T54" s="20">
        <f ca="1" t="shared" si="8"/>
        <v>20</v>
      </c>
      <c r="U54" s="20">
        <f ca="1" t="shared" si="9"/>
        <v>30</v>
      </c>
      <c r="V54" s="20">
        <f ca="1" t="shared" si="10"/>
        <v>37</v>
      </c>
      <c r="W54" s="20">
        <f ca="1" t="shared" si="18"/>
        <v>87</v>
      </c>
      <c r="X54" s="20">
        <f ca="1" t="shared" si="12"/>
        <v>24</v>
      </c>
      <c r="Y54" s="20">
        <f ca="1" t="shared" si="13"/>
        <v>19</v>
      </c>
      <c r="Z54" s="20">
        <f ca="1" t="shared" si="14"/>
        <v>41</v>
      </c>
      <c r="AA54" s="20">
        <f ca="1" t="shared" si="15"/>
        <v>453</v>
      </c>
      <c r="AB54" s="22">
        <f ca="1" t="shared" si="16"/>
        <v>8.2375</v>
      </c>
      <c r="AC54" s="23" t="str">
        <f ca="1" t="shared" si="17"/>
        <v>PASS</v>
      </c>
    </row>
    <row r="55" spans="1:29">
      <c r="A55" s="17">
        <v>49</v>
      </c>
      <c r="B55" s="18" t="s">
        <v>122</v>
      </c>
      <c r="C55" s="19" t="s">
        <v>123</v>
      </c>
      <c r="D55" s="20">
        <f ca="1" t="shared" si="5"/>
        <v>2</v>
      </c>
      <c r="E55" s="20">
        <v>26.2</v>
      </c>
      <c r="F55" s="20">
        <v>43.8</v>
      </c>
      <c r="G55" s="21">
        <v>100</v>
      </c>
      <c r="H55" s="20">
        <f ca="1" t="shared" si="6"/>
        <v>11</v>
      </c>
      <c r="I55" s="20">
        <v>21.8</v>
      </c>
      <c r="J55" s="20">
        <v>36.3</v>
      </c>
      <c r="K55" s="21">
        <v>83</v>
      </c>
      <c r="L55" s="20">
        <f ca="1" t="shared" si="7"/>
        <v>16</v>
      </c>
      <c r="M55" s="20">
        <f ca="1" t="shared" si="0"/>
        <v>30</v>
      </c>
      <c r="N55" s="20">
        <v>36.3</v>
      </c>
      <c r="O55" s="21">
        <v>83</v>
      </c>
      <c r="P55" s="20">
        <f ca="1" t="shared" si="1"/>
        <v>3</v>
      </c>
      <c r="Q55" s="20">
        <v>25.5</v>
      </c>
      <c r="R55" s="20">
        <v>42.4</v>
      </c>
      <c r="S55" s="21">
        <v>97</v>
      </c>
      <c r="T55" s="20">
        <f ca="1" t="shared" si="8"/>
        <v>7</v>
      </c>
      <c r="U55" s="20">
        <f ca="1" t="shared" si="9"/>
        <v>5</v>
      </c>
      <c r="V55" s="20">
        <f ca="1" t="shared" si="10"/>
        <v>10</v>
      </c>
      <c r="W55" s="20">
        <f ca="1" t="shared" si="18"/>
        <v>22</v>
      </c>
      <c r="X55" s="20">
        <f ca="1" t="shared" si="12"/>
        <v>17</v>
      </c>
      <c r="Y55" s="20">
        <f ca="1" t="shared" si="13"/>
        <v>13</v>
      </c>
      <c r="Z55" s="20">
        <f ca="1" t="shared" si="14"/>
        <v>30</v>
      </c>
      <c r="AA55" s="20">
        <f ca="1" t="shared" si="15"/>
        <v>415</v>
      </c>
      <c r="AB55" s="22">
        <f ca="1" t="shared" si="16"/>
        <v>7.59375</v>
      </c>
      <c r="AC55" s="23" t="str">
        <f ca="1" t="shared" si="17"/>
        <v>FAIL</v>
      </c>
    </row>
    <row r="56" spans="1:29">
      <c r="A56" s="17">
        <v>50</v>
      </c>
      <c r="B56" s="18" t="s">
        <v>124</v>
      </c>
      <c r="C56" s="19" t="s">
        <v>125</v>
      </c>
      <c r="D56" s="20">
        <f ca="1" t="shared" si="5"/>
        <v>8</v>
      </c>
      <c r="E56" s="20">
        <v>21.8</v>
      </c>
      <c r="F56" s="20">
        <v>36.3</v>
      </c>
      <c r="G56" s="21">
        <v>83</v>
      </c>
      <c r="H56" s="20">
        <f ca="1" t="shared" si="6"/>
        <v>10</v>
      </c>
      <c r="I56" s="20">
        <v>16.3</v>
      </c>
      <c r="J56" s="20">
        <v>27.1</v>
      </c>
      <c r="K56" s="21">
        <v>62</v>
      </c>
      <c r="L56" s="20">
        <f ca="1" t="shared" si="7"/>
        <v>9</v>
      </c>
      <c r="M56" s="20">
        <f ca="1" t="shared" si="0"/>
        <v>4</v>
      </c>
      <c r="N56" s="20">
        <v>43.8</v>
      </c>
      <c r="O56" s="21">
        <v>100</v>
      </c>
      <c r="P56" s="20">
        <f ca="1" t="shared" si="1"/>
        <v>16</v>
      </c>
      <c r="Q56" s="20">
        <v>23.6</v>
      </c>
      <c r="R56" s="20">
        <v>39.4</v>
      </c>
      <c r="S56" s="21">
        <v>90</v>
      </c>
      <c r="T56" s="20">
        <f ca="1" t="shared" si="8"/>
        <v>3</v>
      </c>
      <c r="U56" s="20">
        <f ca="1" t="shared" si="9"/>
        <v>14</v>
      </c>
      <c r="V56" s="20">
        <f ca="1" t="shared" si="10"/>
        <v>30</v>
      </c>
      <c r="W56" s="20">
        <f ca="1" t="shared" si="18"/>
        <v>47</v>
      </c>
      <c r="X56" s="20">
        <f ca="1" t="shared" si="12"/>
        <v>4</v>
      </c>
      <c r="Y56" s="20">
        <f ca="1" t="shared" si="13"/>
        <v>10</v>
      </c>
      <c r="Z56" s="20">
        <f ca="1" t="shared" si="14"/>
        <v>13</v>
      </c>
      <c r="AA56" s="20">
        <f ca="1" t="shared" si="15"/>
        <v>395</v>
      </c>
      <c r="AB56" s="22">
        <f ca="1" t="shared" si="16"/>
        <v>7.325</v>
      </c>
      <c r="AC56" s="23" t="str">
        <f ca="1" t="shared" si="17"/>
        <v>FAIL</v>
      </c>
    </row>
    <row r="57" spans="1:29">
      <c r="A57" s="17">
        <v>51</v>
      </c>
      <c r="B57" s="18" t="s">
        <v>126</v>
      </c>
      <c r="C57" s="19" t="s">
        <v>127</v>
      </c>
      <c r="D57" s="20">
        <f ca="1" t="shared" si="5"/>
        <v>3</v>
      </c>
      <c r="E57" s="20">
        <v>21.5</v>
      </c>
      <c r="F57" s="20">
        <v>35.9</v>
      </c>
      <c r="G57" s="21">
        <v>82</v>
      </c>
      <c r="H57" s="20">
        <f ca="1" t="shared" si="6"/>
        <v>4</v>
      </c>
      <c r="I57" s="20">
        <v>19.4</v>
      </c>
      <c r="J57" s="20">
        <v>32.4</v>
      </c>
      <c r="K57" s="21">
        <v>74</v>
      </c>
      <c r="L57" s="20">
        <f ca="1" t="shared" si="7"/>
        <v>12</v>
      </c>
      <c r="M57" s="20">
        <f ca="1" t="shared" si="0"/>
        <v>12</v>
      </c>
      <c r="N57" s="20">
        <v>39.8</v>
      </c>
      <c r="O57" s="21">
        <v>91</v>
      </c>
      <c r="P57" s="20">
        <f ca="1" t="shared" si="1"/>
        <v>7</v>
      </c>
      <c r="Q57" s="20">
        <v>22.6</v>
      </c>
      <c r="R57" s="20">
        <v>37.6</v>
      </c>
      <c r="S57" s="21">
        <v>86</v>
      </c>
      <c r="T57" s="20">
        <f ca="1" t="shared" si="8"/>
        <v>19</v>
      </c>
      <c r="U57" s="20">
        <f ca="1" t="shared" si="9"/>
        <v>27</v>
      </c>
      <c r="V57" s="20">
        <f ca="1" t="shared" si="10"/>
        <v>50</v>
      </c>
      <c r="W57" s="20">
        <f ca="1" t="shared" si="18"/>
        <v>96</v>
      </c>
      <c r="X57" s="20">
        <f ca="1" t="shared" si="12"/>
        <v>10</v>
      </c>
      <c r="Y57" s="20">
        <f ca="1" t="shared" si="13"/>
        <v>14</v>
      </c>
      <c r="Z57" s="20">
        <f ca="1" t="shared" si="14"/>
        <v>7</v>
      </c>
      <c r="AA57" s="20">
        <f ca="1" t="shared" si="15"/>
        <v>436</v>
      </c>
      <c r="AB57" s="22">
        <f ca="1" t="shared" si="16"/>
        <v>8.13125</v>
      </c>
      <c r="AC57" s="23" t="str">
        <f ca="1" t="shared" si="17"/>
        <v>FAIL</v>
      </c>
    </row>
    <row r="58" spans="1:29">
      <c r="A58" s="17">
        <v>52</v>
      </c>
      <c r="B58" s="18" t="s">
        <v>128</v>
      </c>
      <c r="C58" s="19" t="s">
        <v>129</v>
      </c>
      <c r="D58" s="20">
        <f ca="1" t="shared" si="5"/>
        <v>3</v>
      </c>
      <c r="E58" s="20">
        <v>14.7</v>
      </c>
      <c r="F58" s="20">
        <v>24.5</v>
      </c>
      <c r="G58" s="21">
        <v>56</v>
      </c>
      <c r="H58" s="20">
        <f ca="1" t="shared" si="6"/>
        <v>16</v>
      </c>
      <c r="I58" s="20">
        <v>16.8</v>
      </c>
      <c r="J58" s="20">
        <v>28</v>
      </c>
      <c r="K58" s="21">
        <v>64</v>
      </c>
      <c r="L58" s="20">
        <f ca="1" t="shared" si="7"/>
        <v>20</v>
      </c>
      <c r="M58" s="20">
        <f ca="1" t="shared" si="0"/>
        <v>26</v>
      </c>
      <c r="N58" s="20">
        <v>36.3</v>
      </c>
      <c r="O58" s="21">
        <v>83</v>
      </c>
      <c r="P58" s="20">
        <f ca="1" t="shared" si="1"/>
        <v>4</v>
      </c>
      <c r="Q58" s="20">
        <v>21</v>
      </c>
      <c r="R58" s="20">
        <v>35</v>
      </c>
      <c r="S58" s="21">
        <v>80</v>
      </c>
      <c r="T58" s="20">
        <f ca="1" t="shared" si="8"/>
        <v>13</v>
      </c>
      <c r="U58" s="20">
        <f ca="1" t="shared" si="9"/>
        <v>3</v>
      </c>
      <c r="V58" s="20">
        <f ca="1" t="shared" si="10"/>
        <v>36</v>
      </c>
      <c r="W58" s="20">
        <f ca="1" t="shared" si="18"/>
        <v>52</v>
      </c>
      <c r="X58" s="20">
        <f ca="1" t="shared" si="12"/>
        <v>4</v>
      </c>
      <c r="Y58" s="20">
        <f ca="1" t="shared" si="13"/>
        <v>19</v>
      </c>
      <c r="Z58" s="20">
        <f ca="1" t="shared" si="14"/>
        <v>31</v>
      </c>
      <c r="AA58" s="20">
        <f ca="1" t="shared" si="15"/>
        <v>366</v>
      </c>
      <c r="AB58" s="22">
        <f ca="1" t="shared" si="16"/>
        <v>6.66875</v>
      </c>
      <c r="AC58" s="23" t="str">
        <f ca="1" t="shared" si="17"/>
        <v>PASS</v>
      </c>
    </row>
    <row r="59" spans="1:29">
      <c r="A59" s="17">
        <v>53</v>
      </c>
      <c r="B59" s="18">
        <v>5024074</v>
      </c>
      <c r="C59" s="19" t="s">
        <v>130</v>
      </c>
      <c r="D59" s="20">
        <f ca="1" t="shared" si="5"/>
        <v>5</v>
      </c>
      <c r="E59" s="20">
        <v>22</v>
      </c>
      <c r="F59" s="20">
        <v>36.8</v>
      </c>
      <c r="G59" s="21">
        <v>84</v>
      </c>
      <c r="H59" s="20">
        <f ca="1" t="shared" si="6"/>
        <v>1</v>
      </c>
      <c r="I59" s="20">
        <v>21.5</v>
      </c>
      <c r="J59" s="20">
        <v>35.9</v>
      </c>
      <c r="K59" s="21">
        <v>82</v>
      </c>
      <c r="L59" s="20">
        <f ca="1" t="shared" si="7"/>
        <v>4</v>
      </c>
      <c r="M59" s="20">
        <f ca="1" t="shared" si="0"/>
        <v>30</v>
      </c>
      <c r="N59" s="20">
        <v>34.6</v>
      </c>
      <c r="O59" s="21">
        <v>79</v>
      </c>
      <c r="P59" s="20">
        <f ca="1" t="shared" si="1"/>
        <v>14</v>
      </c>
      <c r="Q59" s="20">
        <v>23.9</v>
      </c>
      <c r="R59" s="20">
        <v>39.8</v>
      </c>
      <c r="S59" s="21">
        <v>91</v>
      </c>
      <c r="T59" s="20">
        <f ca="1" t="shared" si="8"/>
        <v>11</v>
      </c>
      <c r="U59" s="20">
        <f ca="1" t="shared" si="9"/>
        <v>2</v>
      </c>
      <c r="V59" s="20">
        <f ca="1" t="shared" si="10"/>
        <v>35</v>
      </c>
      <c r="W59" s="20">
        <f ca="1" t="shared" si="18"/>
        <v>48</v>
      </c>
      <c r="X59" s="20">
        <f ca="1" t="shared" si="12"/>
        <v>14</v>
      </c>
      <c r="Y59" s="20">
        <f ca="1" t="shared" si="13"/>
        <v>24</v>
      </c>
      <c r="Z59" s="20">
        <f ca="1" t="shared" si="14"/>
        <v>15</v>
      </c>
      <c r="AA59" s="20">
        <f ca="1" t="shared" si="15"/>
        <v>399</v>
      </c>
      <c r="AB59" s="22">
        <f ca="1" t="shared" si="16"/>
        <v>7.3875</v>
      </c>
      <c r="AC59" s="23" t="str">
        <f ca="1" t="shared" si="17"/>
        <v>FAIL</v>
      </c>
    </row>
    <row r="60" spans="1:29">
      <c r="A60" s="17">
        <v>54</v>
      </c>
      <c r="B60" s="18" t="s">
        <v>131</v>
      </c>
      <c r="C60" s="19" t="s">
        <v>132</v>
      </c>
      <c r="D60" s="20">
        <f ca="1" t="shared" si="5"/>
        <v>16</v>
      </c>
      <c r="E60" s="20">
        <v>15</v>
      </c>
      <c r="F60" s="20">
        <v>24.9</v>
      </c>
      <c r="G60" s="21">
        <v>57</v>
      </c>
      <c r="H60" s="20">
        <f ca="1" t="shared" si="6"/>
        <v>8</v>
      </c>
      <c r="I60" s="20">
        <v>16.5</v>
      </c>
      <c r="J60" s="20">
        <v>27.6</v>
      </c>
      <c r="K60" s="21">
        <v>63</v>
      </c>
      <c r="L60" s="20">
        <f ca="1" t="shared" si="7"/>
        <v>6</v>
      </c>
      <c r="M60" s="20">
        <f ca="1" t="shared" si="0"/>
        <v>2</v>
      </c>
      <c r="N60" s="20">
        <v>30.6</v>
      </c>
      <c r="O60" s="21">
        <v>70</v>
      </c>
      <c r="P60" s="20">
        <f ca="1" t="shared" si="1"/>
        <v>9</v>
      </c>
      <c r="Q60" s="20">
        <v>9.2</v>
      </c>
      <c r="R60" s="20">
        <v>15.3</v>
      </c>
      <c r="S60" s="21">
        <v>35</v>
      </c>
      <c r="T60" s="20">
        <f ca="1" t="shared" si="8"/>
        <v>2</v>
      </c>
      <c r="U60" s="20">
        <f ca="1" t="shared" si="9"/>
        <v>4</v>
      </c>
      <c r="V60" s="20">
        <f ca="1" t="shared" si="10"/>
        <v>13</v>
      </c>
      <c r="W60" s="20">
        <f ca="1" t="shared" si="18"/>
        <v>19</v>
      </c>
      <c r="X60" s="20">
        <f ca="1" t="shared" si="12"/>
        <v>7</v>
      </c>
      <c r="Y60" s="20">
        <f ca="1" t="shared" si="13"/>
        <v>9</v>
      </c>
      <c r="Z60" s="20">
        <f ca="1" t="shared" si="14"/>
        <v>3</v>
      </c>
      <c r="AA60" s="20">
        <f ca="1" t="shared" si="15"/>
        <v>247</v>
      </c>
      <c r="AB60" s="22">
        <f ca="1" t="shared" si="16"/>
        <v>4.6125</v>
      </c>
      <c r="AC60" s="23" t="str">
        <f ca="1" t="shared" si="17"/>
        <v>FAIL</v>
      </c>
    </row>
    <row r="61" spans="1:29">
      <c r="A61" s="17">
        <v>55</v>
      </c>
      <c r="B61" s="18" t="s">
        <v>133</v>
      </c>
      <c r="C61" s="19" t="s">
        <v>134</v>
      </c>
      <c r="D61" s="20">
        <f ca="1" t="shared" si="5"/>
        <v>10</v>
      </c>
      <c r="E61" s="20">
        <v>11.8</v>
      </c>
      <c r="F61" s="20">
        <v>19.7</v>
      </c>
      <c r="G61" s="21">
        <v>45</v>
      </c>
      <c r="H61" s="20">
        <f ca="1" t="shared" si="6"/>
        <v>4</v>
      </c>
      <c r="I61" s="20">
        <v>18.9</v>
      </c>
      <c r="J61" s="20">
        <v>31.5</v>
      </c>
      <c r="K61" s="21">
        <v>72</v>
      </c>
      <c r="L61" s="20">
        <f ca="1" t="shared" si="7"/>
        <v>6</v>
      </c>
      <c r="M61" s="20">
        <f ca="1" t="shared" si="0"/>
        <v>29</v>
      </c>
      <c r="N61" s="20">
        <v>31.1</v>
      </c>
      <c r="O61" s="21">
        <v>71</v>
      </c>
      <c r="P61" s="20">
        <f ca="1" t="shared" si="1"/>
        <v>8</v>
      </c>
      <c r="Q61" s="20">
        <v>15.5</v>
      </c>
      <c r="R61" s="20">
        <v>25.8</v>
      </c>
      <c r="S61" s="21">
        <v>59</v>
      </c>
      <c r="T61" s="20">
        <f ca="1" t="shared" si="8"/>
        <v>11</v>
      </c>
      <c r="U61" s="20">
        <f ca="1" t="shared" si="9"/>
        <v>10</v>
      </c>
      <c r="V61" s="20">
        <f ca="1" t="shared" si="10"/>
        <v>37</v>
      </c>
      <c r="W61" s="20">
        <f ca="1" t="shared" si="18"/>
        <v>58</v>
      </c>
      <c r="X61" s="20">
        <f ca="1" t="shared" si="12"/>
        <v>4</v>
      </c>
      <c r="Y61" s="20">
        <f ca="1" t="shared" si="13"/>
        <v>22</v>
      </c>
      <c r="Z61" s="20">
        <f ca="1" t="shared" si="14"/>
        <v>39</v>
      </c>
      <c r="AA61" s="20">
        <f ca="1" t="shared" si="15"/>
        <v>344</v>
      </c>
      <c r="AB61" s="22">
        <f ca="1" t="shared" si="16"/>
        <v>6.20625</v>
      </c>
      <c r="AC61" s="23" t="str">
        <f ca="1" t="shared" si="17"/>
        <v>PASS</v>
      </c>
    </row>
    <row r="62" spans="1:29">
      <c r="A62" s="17">
        <v>56</v>
      </c>
      <c r="B62" s="18" t="s">
        <v>135</v>
      </c>
      <c r="C62" s="19" t="s">
        <v>136</v>
      </c>
      <c r="D62" s="20">
        <f ca="1" t="shared" si="5"/>
        <v>2</v>
      </c>
      <c r="E62" s="20">
        <v>11.3</v>
      </c>
      <c r="F62" s="20">
        <v>18.8</v>
      </c>
      <c r="G62" s="21">
        <v>43</v>
      </c>
      <c r="H62" s="20">
        <f ca="1" t="shared" si="6"/>
        <v>3</v>
      </c>
      <c r="I62" s="20">
        <v>13.9</v>
      </c>
      <c r="J62" s="20">
        <v>23.2</v>
      </c>
      <c r="K62" s="21">
        <v>53</v>
      </c>
      <c r="L62" s="20">
        <f ca="1" t="shared" si="7"/>
        <v>16</v>
      </c>
      <c r="M62" s="20">
        <f ca="1" t="shared" si="0"/>
        <v>30</v>
      </c>
      <c r="N62" s="20">
        <v>28.9</v>
      </c>
      <c r="O62" s="21">
        <v>66</v>
      </c>
      <c r="P62" s="20">
        <f ca="1" t="shared" si="1"/>
        <v>14</v>
      </c>
      <c r="Q62" s="20">
        <v>16</v>
      </c>
      <c r="R62" s="20">
        <v>26.7</v>
      </c>
      <c r="S62" s="21">
        <v>61</v>
      </c>
      <c r="T62" s="20">
        <f ca="1" t="shared" si="8"/>
        <v>5</v>
      </c>
      <c r="U62" s="20">
        <f ca="1" t="shared" si="9"/>
        <v>26</v>
      </c>
      <c r="V62" s="20">
        <f ca="1" t="shared" si="10"/>
        <v>22</v>
      </c>
      <c r="W62" s="20">
        <f ca="1" t="shared" si="18"/>
        <v>53</v>
      </c>
      <c r="X62" s="20">
        <f ca="1" t="shared" si="12"/>
        <v>24</v>
      </c>
      <c r="Y62" s="20">
        <f ca="1" t="shared" si="13"/>
        <v>15</v>
      </c>
      <c r="Z62" s="20">
        <f ca="1" t="shared" si="14"/>
        <v>28</v>
      </c>
      <c r="AA62" s="20">
        <f ca="1" t="shared" si="15"/>
        <v>304</v>
      </c>
      <c r="AB62" s="22">
        <f ca="1" t="shared" si="16"/>
        <v>5.525</v>
      </c>
      <c r="AC62" s="23" t="str">
        <f ca="1" t="shared" si="17"/>
        <v>PASS</v>
      </c>
    </row>
    <row r="63" spans="1:29">
      <c r="A63" s="17">
        <v>57</v>
      </c>
      <c r="B63" s="18" t="s">
        <v>137</v>
      </c>
      <c r="C63" s="19" t="s">
        <v>138</v>
      </c>
      <c r="D63" s="20">
        <f ca="1" t="shared" si="5"/>
        <v>10</v>
      </c>
      <c r="E63" s="20">
        <v>24.2</v>
      </c>
      <c r="F63" s="20">
        <v>40.2</v>
      </c>
      <c r="G63" s="21">
        <v>92</v>
      </c>
      <c r="H63" s="20">
        <f ca="1" t="shared" si="6"/>
        <v>4</v>
      </c>
      <c r="I63" s="20">
        <v>23.4</v>
      </c>
      <c r="J63" s="20">
        <v>38.9</v>
      </c>
      <c r="K63" s="21">
        <v>89</v>
      </c>
      <c r="L63" s="20">
        <f ca="1" t="shared" si="7"/>
        <v>10</v>
      </c>
      <c r="M63" s="20">
        <f ca="1" t="shared" si="0"/>
        <v>4</v>
      </c>
      <c r="N63" s="20">
        <v>36.3</v>
      </c>
      <c r="O63" s="21">
        <v>83</v>
      </c>
      <c r="P63" s="20">
        <f ca="1" t="shared" si="1"/>
        <v>12</v>
      </c>
      <c r="Q63" s="20">
        <v>23.4</v>
      </c>
      <c r="R63" s="20">
        <v>38.9</v>
      </c>
      <c r="S63" s="21">
        <v>89</v>
      </c>
      <c r="T63" s="20">
        <f ca="1" t="shared" si="8"/>
        <v>16</v>
      </c>
      <c r="U63" s="20">
        <f ca="1" t="shared" si="9"/>
        <v>16</v>
      </c>
      <c r="V63" s="20">
        <f ca="1" t="shared" si="10"/>
        <v>15</v>
      </c>
      <c r="W63" s="20">
        <f ca="1" t="shared" si="18"/>
        <v>47</v>
      </c>
      <c r="X63" s="20">
        <f ca="1" t="shared" si="12"/>
        <v>19</v>
      </c>
      <c r="Y63" s="20">
        <f ca="1" t="shared" si="13"/>
        <v>2</v>
      </c>
      <c r="Z63" s="20">
        <f ca="1" t="shared" si="14"/>
        <v>31</v>
      </c>
      <c r="AA63" s="20">
        <f ca="1" t="shared" si="15"/>
        <v>431</v>
      </c>
      <c r="AB63" s="22">
        <f ca="1" t="shared" si="16"/>
        <v>7.8875</v>
      </c>
      <c r="AC63" s="23" t="str">
        <f ca="1" t="shared" si="17"/>
        <v>PASS</v>
      </c>
    </row>
    <row r="64" spans="1:29">
      <c r="A64" s="17">
        <v>58</v>
      </c>
      <c r="B64" s="18" t="s">
        <v>139</v>
      </c>
      <c r="C64" s="19" t="s">
        <v>140</v>
      </c>
      <c r="D64" s="20">
        <f ca="1" t="shared" si="5"/>
        <v>16</v>
      </c>
      <c r="E64" s="20">
        <v>17.3</v>
      </c>
      <c r="F64" s="20">
        <v>28.9</v>
      </c>
      <c r="G64" s="21">
        <v>66</v>
      </c>
      <c r="H64" s="20">
        <f ca="1" t="shared" si="6"/>
        <v>11</v>
      </c>
      <c r="I64" s="20">
        <v>21</v>
      </c>
      <c r="J64" s="20">
        <v>35</v>
      </c>
      <c r="K64" s="21">
        <v>80</v>
      </c>
      <c r="L64" s="20">
        <f ca="1" t="shared" si="7"/>
        <v>4</v>
      </c>
      <c r="M64" s="20">
        <f ca="1" t="shared" si="0"/>
        <v>19</v>
      </c>
      <c r="N64" s="20">
        <v>37.6</v>
      </c>
      <c r="O64" s="21">
        <v>86</v>
      </c>
      <c r="P64" s="20">
        <f ca="1" t="shared" si="1"/>
        <v>12</v>
      </c>
      <c r="Q64" s="20">
        <v>24.2</v>
      </c>
      <c r="R64" s="20">
        <v>40.2</v>
      </c>
      <c r="S64" s="21">
        <v>92</v>
      </c>
      <c r="T64" s="20">
        <f ca="1" t="shared" si="8"/>
        <v>17</v>
      </c>
      <c r="U64" s="20">
        <f ca="1" t="shared" si="9"/>
        <v>17</v>
      </c>
      <c r="V64" s="20">
        <f ca="1" t="shared" si="10"/>
        <v>49</v>
      </c>
      <c r="W64" s="20">
        <f ca="1" t="shared" si="18"/>
        <v>83</v>
      </c>
      <c r="X64" s="20">
        <f ca="1" t="shared" si="12"/>
        <v>23</v>
      </c>
      <c r="Y64" s="20">
        <f ca="1" t="shared" si="13"/>
        <v>16</v>
      </c>
      <c r="Z64" s="20">
        <f ca="1" t="shared" si="14"/>
        <v>43</v>
      </c>
      <c r="AA64" s="20">
        <f ca="1" t="shared" si="15"/>
        <v>450</v>
      </c>
      <c r="AB64" s="22">
        <f ca="1" t="shared" si="16"/>
        <v>8.16875</v>
      </c>
      <c r="AC64" s="23" t="str">
        <f ca="1" t="shared" si="17"/>
        <v>PASS</v>
      </c>
    </row>
    <row r="65" spans="1:29">
      <c r="A65" s="17">
        <v>59</v>
      </c>
      <c r="B65" s="18" t="s">
        <v>141</v>
      </c>
      <c r="C65" s="19" t="s">
        <v>142</v>
      </c>
      <c r="D65" s="20">
        <f ca="1" t="shared" si="5"/>
        <v>15</v>
      </c>
      <c r="E65" s="20">
        <v>24.7</v>
      </c>
      <c r="F65" s="20">
        <v>41.1</v>
      </c>
      <c r="G65" s="21">
        <v>94</v>
      </c>
      <c r="H65" s="20">
        <f ca="1" t="shared" si="6"/>
        <v>7</v>
      </c>
      <c r="I65" s="20">
        <v>18.4</v>
      </c>
      <c r="J65" s="20">
        <v>30.6</v>
      </c>
      <c r="K65" s="21">
        <v>70</v>
      </c>
      <c r="L65" s="20">
        <f ca="1" t="shared" si="7"/>
        <v>11</v>
      </c>
      <c r="M65" s="20">
        <f ca="1" t="shared" si="0"/>
        <v>26</v>
      </c>
      <c r="N65" s="20">
        <v>36.8</v>
      </c>
      <c r="O65" s="21">
        <v>84</v>
      </c>
      <c r="P65" s="20">
        <f ca="1" t="shared" si="1"/>
        <v>8</v>
      </c>
      <c r="Q65" s="20">
        <v>17.6</v>
      </c>
      <c r="R65" s="20">
        <v>29.3</v>
      </c>
      <c r="S65" s="21">
        <v>67</v>
      </c>
      <c r="T65" s="20">
        <f ca="1" t="shared" si="8"/>
        <v>20</v>
      </c>
      <c r="U65" s="20">
        <f ca="1" t="shared" si="9"/>
        <v>26</v>
      </c>
      <c r="V65" s="20">
        <f ca="1" t="shared" si="10"/>
        <v>25</v>
      </c>
      <c r="W65" s="20">
        <f ca="1" t="shared" si="18"/>
        <v>71</v>
      </c>
      <c r="X65" s="20">
        <f ca="1" t="shared" si="12"/>
        <v>1</v>
      </c>
      <c r="Y65" s="20">
        <f ca="1" t="shared" si="13"/>
        <v>23</v>
      </c>
      <c r="Z65" s="20">
        <f ca="1" t="shared" si="14"/>
        <v>24</v>
      </c>
      <c r="AA65" s="20">
        <f ca="1" t="shared" si="15"/>
        <v>410</v>
      </c>
      <c r="AB65" s="22">
        <f ca="1" t="shared" si="16"/>
        <v>7.5375</v>
      </c>
      <c r="AC65" s="23" t="str">
        <f ca="1" t="shared" si="17"/>
        <v>PASS</v>
      </c>
    </row>
    <row r="66" spans="1:29">
      <c r="A66" s="17">
        <v>60</v>
      </c>
      <c r="B66" s="18" t="s">
        <v>143</v>
      </c>
      <c r="C66" s="19" t="s">
        <v>144</v>
      </c>
      <c r="D66" s="20">
        <f ca="1" t="shared" si="5"/>
        <v>4</v>
      </c>
      <c r="E66" s="20">
        <v>17.3</v>
      </c>
      <c r="F66" s="20">
        <v>28.9</v>
      </c>
      <c r="G66" s="21">
        <v>66</v>
      </c>
      <c r="H66" s="20">
        <f ca="1" t="shared" si="6"/>
        <v>10</v>
      </c>
      <c r="I66" s="20">
        <v>21.8</v>
      </c>
      <c r="J66" s="20">
        <v>36.3</v>
      </c>
      <c r="K66" s="21">
        <v>83</v>
      </c>
      <c r="L66" s="20">
        <f ca="1" t="shared" si="7"/>
        <v>4</v>
      </c>
      <c r="M66" s="20">
        <f ca="1" t="shared" si="0"/>
        <v>17</v>
      </c>
      <c r="N66" s="20">
        <v>20.1</v>
      </c>
      <c r="O66" s="21">
        <v>46</v>
      </c>
      <c r="P66" s="20">
        <f ca="1" t="shared" si="1"/>
        <v>1</v>
      </c>
      <c r="Q66" s="20">
        <v>16</v>
      </c>
      <c r="R66" s="20">
        <v>26.7</v>
      </c>
      <c r="S66" s="21">
        <v>61</v>
      </c>
      <c r="T66" s="20">
        <f ca="1" t="shared" si="8"/>
        <v>16</v>
      </c>
      <c r="U66" s="20">
        <f ca="1" t="shared" si="9"/>
        <v>2</v>
      </c>
      <c r="V66" s="20">
        <f ca="1" t="shared" si="10"/>
        <v>15</v>
      </c>
      <c r="W66" s="20">
        <f ca="1" t="shared" si="18"/>
        <v>33</v>
      </c>
      <c r="X66" s="20">
        <f ca="1" t="shared" si="12"/>
        <v>10</v>
      </c>
      <c r="Y66" s="20">
        <f ca="1" t="shared" si="13"/>
        <v>10</v>
      </c>
      <c r="Z66" s="20">
        <f ca="1" t="shared" si="14"/>
        <v>37</v>
      </c>
      <c r="AA66" s="20">
        <f ca="1" t="shared" si="15"/>
        <v>326</v>
      </c>
      <c r="AB66" s="22">
        <f ca="1" t="shared" si="16"/>
        <v>5.88125</v>
      </c>
      <c r="AC66" s="23" t="str">
        <f ca="1" t="shared" si="17"/>
        <v>FAIL</v>
      </c>
    </row>
    <row r="67" spans="1:29">
      <c r="A67" s="17">
        <v>61</v>
      </c>
      <c r="B67" s="18" t="s">
        <v>145</v>
      </c>
      <c r="C67" s="19" t="s">
        <v>146</v>
      </c>
      <c r="D67" s="20">
        <f ca="1" t="shared" si="5"/>
        <v>18</v>
      </c>
      <c r="E67" s="20">
        <v>16.5</v>
      </c>
      <c r="F67" s="20">
        <v>27.6</v>
      </c>
      <c r="G67" s="21">
        <v>63</v>
      </c>
      <c r="H67" s="20">
        <f ca="1" t="shared" si="6"/>
        <v>2</v>
      </c>
      <c r="I67" s="20">
        <v>18.1</v>
      </c>
      <c r="J67" s="20">
        <v>30.2</v>
      </c>
      <c r="K67" s="21">
        <v>69</v>
      </c>
      <c r="L67" s="20">
        <f ca="1" t="shared" si="7"/>
        <v>6</v>
      </c>
      <c r="M67" s="20">
        <f ca="1" t="shared" si="0"/>
        <v>20</v>
      </c>
      <c r="N67" s="20">
        <v>28.9</v>
      </c>
      <c r="O67" s="21">
        <v>66</v>
      </c>
      <c r="P67" s="20">
        <f ca="1" t="shared" si="1"/>
        <v>8</v>
      </c>
      <c r="Q67" s="20">
        <v>25.2</v>
      </c>
      <c r="R67" s="20">
        <v>42</v>
      </c>
      <c r="S67" s="21">
        <v>96</v>
      </c>
      <c r="T67" s="20">
        <f ca="1" t="shared" si="8"/>
        <v>9</v>
      </c>
      <c r="U67" s="20">
        <f ca="1" t="shared" si="9"/>
        <v>18</v>
      </c>
      <c r="V67" s="20">
        <f ca="1" t="shared" si="10"/>
        <v>35</v>
      </c>
      <c r="W67" s="20">
        <f ca="1" t="shared" si="18"/>
        <v>62</v>
      </c>
      <c r="X67" s="20">
        <f ca="1" t="shared" si="12"/>
        <v>5</v>
      </c>
      <c r="Y67" s="20">
        <f ca="1" t="shared" si="13"/>
        <v>24</v>
      </c>
      <c r="Z67" s="20">
        <f ca="1" t="shared" si="14"/>
        <v>11</v>
      </c>
      <c r="AA67" s="20">
        <f ca="1" t="shared" si="15"/>
        <v>367</v>
      </c>
      <c r="AB67" s="22">
        <f ca="1" t="shared" si="16"/>
        <v>6.8125</v>
      </c>
      <c r="AC67" s="23" t="str">
        <f ca="1" t="shared" si="17"/>
        <v>FAIL</v>
      </c>
    </row>
    <row r="68" spans="1:29">
      <c r="A68" s="17">
        <v>62</v>
      </c>
      <c r="B68" s="18" t="s">
        <v>147</v>
      </c>
      <c r="C68" s="19" t="s">
        <v>148</v>
      </c>
      <c r="D68" s="20">
        <f ca="1" t="shared" si="5"/>
        <v>1</v>
      </c>
      <c r="E68" s="20">
        <v>21</v>
      </c>
      <c r="F68" s="20">
        <v>35</v>
      </c>
      <c r="G68" s="21">
        <v>80</v>
      </c>
      <c r="H68" s="20">
        <f ca="1" t="shared" si="6"/>
        <v>4</v>
      </c>
      <c r="I68" s="20">
        <v>21.8</v>
      </c>
      <c r="J68" s="20">
        <v>36.3</v>
      </c>
      <c r="K68" s="21">
        <v>83</v>
      </c>
      <c r="L68" s="20">
        <f ca="1" t="shared" si="7"/>
        <v>20</v>
      </c>
      <c r="M68" s="20">
        <f ca="1" t="shared" si="0"/>
        <v>17</v>
      </c>
      <c r="N68" s="20">
        <v>39.8</v>
      </c>
      <c r="O68" s="21">
        <v>91</v>
      </c>
      <c r="P68" s="20">
        <f ca="1" t="shared" si="1"/>
        <v>16</v>
      </c>
      <c r="Q68" s="20">
        <v>16.8</v>
      </c>
      <c r="R68" s="20">
        <v>28</v>
      </c>
      <c r="S68" s="21">
        <v>64</v>
      </c>
      <c r="T68" s="20">
        <f ca="1" t="shared" si="8"/>
        <v>6</v>
      </c>
      <c r="U68" s="20">
        <f ca="1" t="shared" si="9"/>
        <v>7</v>
      </c>
      <c r="V68" s="20">
        <f ca="1" t="shared" si="10"/>
        <v>2</v>
      </c>
      <c r="W68" s="20">
        <f ca="1" t="shared" si="18"/>
        <v>15</v>
      </c>
      <c r="X68" s="20">
        <f ca="1" t="shared" si="12"/>
        <v>13</v>
      </c>
      <c r="Y68" s="20">
        <f ca="1" t="shared" si="13"/>
        <v>18</v>
      </c>
      <c r="Z68" s="20">
        <f ca="1" t="shared" si="14"/>
        <v>44</v>
      </c>
      <c r="AA68" s="20">
        <f ca="1" t="shared" si="15"/>
        <v>377</v>
      </c>
      <c r="AB68" s="22">
        <f ca="1" t="shared" si="16"/>
        <v>6.79375</v>
      </c>
      <c r="AC68" s="23" t="str">
        <f ca="1" t="shared" si="17"/>
        <v>FAIL</v>
      </c>
    </row>
    <row r="69" spans="1:29">
      <c r="A69" s="17">
        <v>63</v>
      </c>
      <c r="B69" s="18" t="s">
        <v>149</v>
      </c>
      <c r="C69" s="19" t="s">
        <v>150</v>
      </c>
      <c r="D69" s="20">
        <f ca="1" t="shared" si="5"/>
        <v>2</v>
      </c>
      <c r="E69" s="20">
        <v>15</v>
      </c>
      <c r="F69" s="20">
        <v>24.9</v>
      </c>
      <c r="G69" s="21">
        <v>57</v>
      </c>
      <c r="H69" s="20">
        <f ca="1" t="shared" si="6"/>
        <v>12</v>
      </c>
      <c r="I69" s="20">
        <v>18.1</v>
      </c>
      <c r="J69" s="20">
        <v>30.2</v>
      </c>
      <c r="K69" s="21">
        <v>69</v>
      </c>
      <c r="L69" s="20">
        <f ca="1" t="shared" si="7"/>
        <v>17</v>
      </c>
      <c r="M69" s="20">
        <f ca="1" t="shared" si="0"/>
        <v>8</v>
      </c>
      <c r="N69" s="20">
        <v>32.4</v>
      </c>
      <c r="O69" s="21">
        <v>74</v>
      </c>
      <c r="P69" s="20">
        <f ca="1" t="shared" si="1"/>
        <v>15</v>
      </c>
      <c r="Q69" s="20">
        <v>18.1</v>
      </c>
      <c r="R69" s="20">
        <v>30.2</v>
      </c>
      <c r="S69" s="21">
        <v>69</v>
      </c>
      <c r="T69" s="20">
        <f ca="1" t="shared" si="8"/>
        <v>19</v>
      </c>
      <c r="U69" s="20">
        <f ca="1" t="shared" si="9"/>
        <v>26</v>
      </c>
      <c r="V69" s="20">
        <f ca="1" t="shared" si="10"/>
        <v>27</v>
      </c>
      <c r="W69" s="20">
        <f ca="1" t="shared" si="18"/>
        <v>72</v>
      </c>
      <c r="X69" s="20">
        <f ca="1" t="shared" si="12"/>
        <v>12</v>
      </c>
      <c r="Y69" s="20">
        <f ca="1" t="shared" si="13"/>
        <v>19</v>
      </c>
      <c r="Z69" s="20">
        <f ca="1" t="shared" si="14"/>
        <v>32</v>
      </c>
      <c r="AA69" s="20">
        <f ca="1" t="shared" si="15"/>
        <v>373</v>
      </c>
      <c r="AB69" s="22">
        <f ca="1" t="shared" si="16"/>
        <v>6.79375</v>
      </c>
      <c r="AC69" s="23" t="str">
        <f ca="1" t="shared" si="17"/>
        <v>PASS</v>
      </c>
    </row>
    <row r="70" spans="1:29">
      <c r="A70" s="17">
        <v>64</v>
      </c>
      <c r="B70" s="18" t="s">
        <v>151</v>
      </c>
      <c r="C70" s="19" t="s">
        <v>152</v>
      </c>
      <c r="D70" s="20">
        <f ca="1" t="shared" si="5"/>
        <v>10</v>
      </c>
      <c r="E70" s="20">
        <v>23.4</v>
      </c>
      <c r="F70" s="20">
        <v>38.9</v>
      </c>
      <c r="G70" s="21">
        <v>89</v>
      </c>
      <c r="H70" s="20">
        <f ca="1" t="shared" si="6"/>
        <v>8</v>
      </c>
      <c r="I70" s="20">
        <v>26.2</v>
      </c>
      <c r="J70" s="20">
        <v>43.8</v>
      </c>
      <c r="K70" s="21">
        <v>100</v>
      </c>
      <c r="L70" s="20">
        <f ca="1" t="shared" si="7"/>
        <v>13</v>
      </c>
      <c r="M70" s="20">
        <f ca="1" t="shared" si="0"/>
        <v>12</v>
      </c>
      <c r="N70" s="20">
        <v>30.2</v>
      </c>
      <c r="O70" s="21">
        <v>69</v>
      </c>
      <c r="P70" s="20">
        <f ca="1" t="shared" si="1"/>
        <v>4</v>
      </c>
      <c r="Q70" s="20">
        <v>18.6</v>
      </c>
      <c r="R70" s="20">
        <v>31.1</v>
      </c>
      <c r="S70" s="21">
        <v>71</v>
      </c>
      <c r="T70" s="20">
        <f ca="1" t="shared" si="8"/>
        <v>10</v>
      </c>
      <c r="U70" s="20">
        <f ca="1" t="shared" si="9"/>
        <v>9</v>
      </c>
      <c r="V70" s="20">
        <f ca="1" t="shared" si="10"/>
        <v>35</v>
      </c>
      <c r="W70" s="20">
        <f ca="1" t="shared" si="18"/>
        <v>54</v>
      </c>
      <c r="X70" s="20">
        <f ca="1" t="shared" si="12"/>
        <v>14</v>
      </c>
      <c r="Y70" s="20">
        <f ca="1" t="shared" si="13"/>
        <v>15</v>
      </c>
      <c r="Z70" s="20">
        <f ca="1" t="shared" si="14"/>
        <v>10</v>
      </c>
      <c r="AA70" s="20">
        <f ca="1" t="shared" si="15"/>
        <v>393</v>
      </c>
      <c r="AB70" s="22">
        <f ca="1" t="shared" si="16"/>
        <v>7.30625</v>
      </c>
      <c r="AC70" s="23" t="str">
        <f ca="1" t="shared" si="17"/>
        <v>FAIL</v>
      </c>
    </row>
    <row r="71" spans="1:29">
      <c r="A71" s="17">
        <v>65</v>
      </c>
      <c r="B71" s="18" t="s">
        <v>153</v>
      </c>
      <c r="C71" s="19" t="s">
        <v>154</v>
      </c>
      <c r="D71" s="20">
        <f ca="1" t="shared" si="5"/>
        <v>5</v>
      </c>
      <c r="E71" s="20">
        <v>18.4</v>
      </c>
      <c r="F71" s="20">
        <v>30.6</v>
      </c>
      <c r="G71" s="21">
        <v>70</v>
      </c>
      <c r="H71" s="20">
        <f ca="1" t="shared" si="6"/>
        <v>11</v>
      </c>
      <c r="I71" s="20">
        <v>20.2</v>
      </c>
      <c r="J71" s="20">
        <v>33.7</v>
      </c>
      <c r="K71" s="21">
        <v>77</v>
      </c>
      <c r="L71" s="20">
        <f ca="1" t="shared" si="7"/>
        <v>14</v>
      </c>
      <c r="M71" s="20">
        <f ca="1" t="shared" si="0"/>
        <v>23</v>
      </c>
      <c r="N71" s="20">
        <v>33.7</v>
      </c>
      <c r="O71" s="21">
        <v>77</v>
      </c>
      <c r="P71" s="20">
        <f ca="1" t="shared" si="1"/>
        <v>20</v>
      </c>
      <c r="Q71" s="20">
        <v>17.6</v>
      </c>
      <c r="R71" s="20">
        <v>29.3</v>
      </c>
      <c r="S71" s="21">
        <v>67</v>
      </c>
      <c r="T71" s="20">
        <f ca="1" t="shared" si="8"/>
        <v>13</v>
      </c>
      <c r="U71" s="20">
        <f ca="1" t="shared" si="9"/>
        <v>14</v>
      </c>
      <c r="V71" s="20">
        <f ca="1" t="shared" si="10"/>
        <v>44</v>
      </c>
      <c r="W71" s="20">
        <f ca="1" t="shared" si="18"/>
        <v>71</v>
      </c>
      <c r="X71" s="20">
        <f ca="1" t="shared" si="12"/>
        <v>15</v>
      </c>
      <c r="Y71" s="20">
        <f ca="1" t="shared" si="13"/>
        <v>9</v>
      </c>
      <c r="Z71" s="20">
        <f ca="1" t="shared" si="14"/>
        <v>29</v>
      </c>
      <c r="AA71" s="20">
        <f ca="1" t="shared" si="15"/>
        <v>391</v>
      </c>
      <c r="AB71" s="22">
        <f ca="1" t="shared" si="16"/>
        <v>7.15</v>
      </c>
      <c r="AC71" s="23" t="str">
        <f ca="1" t="shared" si="17"/>
        <v>PASS</v>
      </c>
    </row>
    <row r="72" spans="1:29">
      <c r="A72" s="17">
        <v>66</v>
      </c>
      <c r="B72" s="18" t="s">
        <v>155</v>
      </c>
      <c r="C72" s="19" t="s">
        <v>156</v>
      </c>
      <c r="D72" s="20">
        <f ca="1" t="shared" si="5"/>
        <v>4</v>
      </c>
      <c r="E72" s="20">
        <v>17.9</v>
      </c>
      <c r="F72" s="20">
        <v>29.7</v>
      </c>
      <c r="G72" s="21">
        <v>68</v>
      </c>
      <c r="H72" s="20">
        <f ca="1" t="shared" si="6"/>
        <v>1</v>
      </c>
      <c r="I72" s="20">
        <v>21</v>
      </c>
      <c r="J72" s="20">
        <v>35</v>
      </c>
      <c r="K72" s="21">
        <v>80</v>
      </c>
      <c r="L72" s="20">
        <f ca="1" t="shared" si="7"/>
        <v>13</v>
      </c>
      <c r="M72" s="20">
        <f ca="1" t="shared" si="0"/>
        <v>28</v>
      </c>
      <c r="N72" s="20">
        <v>24.9</v>
      </c>
      <c r="O72" s="21">
        <v>57</v>
      </c>
      <c r="P72" s="20">
        <f ca="1" t="shared" si="1"/>
        <v>1</v>
      </c>
      <c r="Q72" s="20">
        <v>15.8</v>
      </c>
      <c r="R72" s="20">
        <v>26.2</v>
      </c>
      <c r="S72" s="21">
        <v>60</v>
      </c>
      <c r="T72" s="20">
        <f ca="1" t="shared" si="8"/>
        <v>20</v>
      </c>
      <c r="U72" s="20">
        <f ca="1" t="shared" si="9"/>
        <v>29</v>
      </c>
      <c r="V72" s="20">
        <f ca="1" t="shared" si="10"/>
        <v>45</v>
      </c>
      <c r="W72" s="20">
        <f ca="1" t="shared" si="18"/>
        <v>94</v>
      </c>
      <c r="X72" s="20">
        <f ca="1" t="shared" si="12"/>
        <v>5</v>
      </c>
      <c r="Y72" s="20">
        <f ca="1" t="shared" si="13"/>
        <v>9</v>
      </c>
      <c r="Z72" s="20">
        <f ca="1" t="shared" si="14"/>
        <v>1</v>
      </c>
      <c r="AA72" s="20">
        <f ca="1">G72+K72+O72+S72+W72+Z72</f>
        <v>360</v>
      </c>
      <c r="AB72" s="22">
        <f ca="1">((G72/100*10*3)+(K72/100*10*3)+(O72/100*10*3)+(S72/100*10*3)+(W72/100*10*3)+(Z72/50*10*1))/16</f>
        <v>6.74375</v>
      </c>
      <c r="AC72" s="23" t="str">
        <f ca="1">IF(OR(G72&lt;40,K72&lt;40,O72&lt;40,S72&lt;40,W72&lt;40,Z72&lt;20),"FAIL","PASS")</f>
        <v>FAIL</v>
      </c>
    </row>
    <row r="73" spans="1:29">
      <c r="A73" s="17">
        <v>67</v>
      </c>
      <c r="B73" s="18" t="s">
        <v>157</v>
      </c>
      <c r="C73" s="19" t="s">
        <v>158</v>
      </c>
      <c r="D73" s="20">
        <f ca="1" t="shared" si="5"/>
        <v>9</v>
      </c>
      <c r="E73" s="20">
        <v>16.8</v>
      </c>
      <c r="F73" s="20">
        <v>28</v>
      </c>
      <c r="G73" s="21">
        <v>64</v>
      </c>
      <c r="H73" s="20">
        <f ca="1" t="shared" si="6"/>
        <v>11</v>
      </c>
      <c r="I73" s="20">
        <v>22.3</v>
      </c>
      <c r="J73" s="20">
        <v>37.2</v>
      </c>
      <c r="K73" s="21">
        <v>85</v>
      </c>
      <c r="L73" s="20">
        <f ca="1" t="shared" si="7"/>
        <v>8</v>
      </c>
      <c r="M73" s="20">
        <f ca="1" t="shared" si="0"/>
        <v>3</v>
      </c>
      <c r="N73" s="20">
        <v>43.8</v>
      </c>
      <c r="O73" s="21">
        <v>100</v>
      </c>
      <c r="P73" s="20">
        <f ca="1" t="shared" si="1"/>
        <v>1</v>
      </c>
      <c r="Q73" s="20">
        <v>21.5</v>
      </c>
      <c r="R73" s="20">
        <v>35.9</v>
      </c>
      <c r="S73" s="21">
        <v>82</v>
      </c>
      <c r="T73" s="20">
        <f ca="1" t="shared" si="8"/>
        <v>14</v>
      </c>
      <c r="U73" s="20">
        <f ca="1" t="shared" si="9"/>
        <v>2</v>
      </c>
      <c r="V73" s="20">
        <f ca="1" t="shared" si="10"/>
        <v>3</v>
      </c>
      <c r="W73" s="20">
        <f ca="1">T73+U73+V73</f>
        <v>19</v>
      </c>
      <c r="X73" s="20">
        <f ca="1" t="shared" si="12"/>
        <v>16</v>
      </c>
      <c r="Y73" s="20">
        <f ca="1" t="shared" si="13"/>
        <v>15</v>
      </c>
      <c r="Z73" s="20">
        <f ca="1" t="shared" si="14"/>
        <v>27</v>
      </c>
      <c r="AA73" s="20">
        <f ca="1">G73+K73+O73+S73+W73+Z73</f>
        <v>377</v>
      </c>
      <c r="AB73" s="22">
        <f ca="1">((G73/100*10*3)+(K73/100*10*3)+(O73/100*10*3)+(S73/100*10*3)+(W73/100*10*3)+(Z73/50*10*1))/16</f>
        <v>6.9</v>
      </c>
      <c r="AC73" s="23" t="str">
        <f ca="1">IF(OR(G73&lt;40,K73&lt;40,O73&lt;40,S73&lt;40,W73&lt;40,Z73&lt;20),"FAIL","PASS")</f>
        <v>FAIL</v>
      </c>
    </row>
    <row r="74" spans="1:29">
      <c r="A74" s="17">
        <v>68</v>
      </c>
      <c r="B74" s="18" t="s">
        <v>159</v>
      </c>
      <c r="C74" s="19" t="s">
        <v>160</v>
      </c>
      <c r="D74" s="20">
        <f ca="1" t="shared" si="5"/>
        <v>7</v>
      </c>
      <c r="E74" s="20">
        <v>21.8</v>
      </c>
      <c r="F74" s="20">
        <v>36.3</v>
      </c>
      <c r="G74" s="21">
        <v>83</v>
      </c>
      <c r="H74" s="20">
        <f ca="1" t="shared" si="6"/>
        <v>1</v>
      </c>
      <c r="I74" s="20">
        <v>15.5</v>
      </c>
      <c r="J74" s="20">
        <v>25.8</v>
      </c>
      <c r="K74" s="21">
        <v>59</v>
      </c>
      <c r="L74" s="20">
        <f ca="1" t="shared" si="7"/>
        <v>10</v>
      </c>
      <c r="M74" s="20">
        <f ca="1" t="shared" si="0"/>
        <v>27</v>
      </c>
      <c r="N74" s="20">
        <v>35.4</v>
      </c>
      <c r="O74" s="21">
        <v>81</v>
      </c>
      <c r="P74" s="20">
        <f ca="1" t="shared" si="1"/>
        <v>9</v>
      </c>
      <c r="Q74" s="20">
        <v>17.3</v>
      </c>
      <c r="R74" s="20">
        <v>28.9</v>
      </c>
      <c r="S74" s="21">
        <v>66</v>
      </c>
      <c r="T74" s="20">
        <f ca="1" t="shared" si="8"/>
        <v>14</v>
      </c>
      <c r="U74" s="20">
        <f ca="1" t="shared" si="9"/>
        <v>15</v>
      </c>
      <c r="V74" s="20">
        <f ca="1" t="shared" si="10"/>
        <v>16</v>
      </c>
      <c r="W74" s="20">
        <f ca="1">T74+U74+V74</f>
        <v>45</v>
      </c>
      <c r="X74" s="20">
        <f ca="1" t="shared" si="12"/>
        <v>6</v>
      </c>
      <c r="Y74" s="20">
        <f ca="1" t="shared" si="13"/>
        <v>24</v>
      </c>
      <c r="Z74" s="20">
        <f ca="1" t="shared" si="14"/>
        <v>37</v>
      </c>
      <c r="AA74" s="20">
        <f ca="1">G74+K74+O74+S74+W74+Z74</f>
        <v>371</v>
      </c>
      <c r="AB74" s="22">
        <f ca="1">((G74/100*10*3)+(K74/100*10*3)+(O74/100*10*3)+(S74/100*10*3)+(W74/100*10*3)+(Z74/50*10*1))/16</f>
        <v>6.725</v>
      </c>
      <c r="AC74" s="23" t="str">
        <f ca="1">IF(OR(G74&lt;40,K74&lt;40,O74&lt;40,S74&lt;40,W74&lt;40,Z74&lt;20),"FAIL","PASS")</f>
        <v>PASS</v>
      </c>
    </row>
    <row r="75" spans="1:29">
      <c r="A75" s="17">
        <v>69</v>
      </c>
      <c r="B75" s="18" t="s">
        <v>161</v>
      </c>
      <c r="C75" s="19" t="s">
        <v>162</v>
      </c>
      <c r="D75" s="20">
        <f ca="1" t="shared" si="5"/>
        <v>19</v>
      </c>
      <c r="E75" s="20">
        <v>20.5</v>
      </c>
      <c r="F75" s="20">
        <v>34.1</v>
      </c>
      <c r="G75" s="21">
        <v>78</v>
      </c>
      <c r="H75" s="20">
        <f ca="1" t="shared" si="6"/>
        <v>6</v>
      </c>
      <c r="I75" s="20">
        <v>23.9</v>
      </c>
      <c r="J75" s="20">
        <v>39.8</v>
      </c>
      <c r="K75" s="21">
        <v>91</v>
      </c>
      <c r="L75" s="20">
        <f ca="1" t="shared" si="7"/>
        <v>11</v>
      </c>
      <c r="M75" s="20">
        <f ca="1" t="shared" si="0"/>
        <v>28</v>
      </c>
      <c r="N75" s="20">
        <v>43.8</v>
      </c>
      <c r="O75" s="21">
        <v>100</v>
      </c>
      <c r="P75" s="20">
        <f ca="1" t="shared" si="1"/>
        <v>8</v>
      </c>
      <c r="Q75" s="20">
        <v>24.9</v>
      </c>
      <c r="R75" s="20">
        <v>41.6</v>
      </c>
      <c r="S75" s="21">
        <v>95</v>
      </c>
      <c r="T75" s="20">
        <f ca="1" t="shared" si="8"/>
        <v>8</v>
      </c>
      <c r="U75" s="20">
        <f ca="1" t="shared" si="9"/>
        <v>3</v>
      </c>
      <c r="V75" s="20">
        <f ca="1" t="shared" si="10"/>
        <v>15</v>
      </c>
      <c r="W75" s="20">
        <f ca="1">T75+U75+V75</f>
        <v>26</v>
      </c>
      <c r="X75" s="20">
        <f ca="1" t="shared" si="12"/>
        <v>17</v>
      </c>
      <c r="Y75" s="20">
        <f ca="1" t="shared" si="13"/>
        <v>18</v>
      </c>
      <c r="Z75" s="20">
        <f ca="1" t="shared" si="14"/>
        <v>30</v>
      </c>
      <c r="AA75" s="20">
        <f ca="1">G75+K75+O75+S75+W75+Z75</f>
        <v>420</v>
      </c>
      <c r="AB75" s="22">
        <f ca="1">((G75/100*10*3)+(K75/100*10*3)+(O75/100*10*3)+(S75/100*10*3)+(W75/100*10*3)+(Z75/50*10*1))/16</f>
        <v>7.6875</v>
      </c>
      <c r="AC75" s="23" t="str">
        <f ca="1">IF(OR(G75&lt;40,K75&lt;40,O75&lt;40,S75&lt;40,W75&lt;40,Z75&lt;20),"FAIL","PASS")</f>
        <v>FAIL</v>
      </c>
    </row>
    <row r="76" spans="1:29">
      <c r="A76" s="17">
        <v>70</v>
      </c>
      <c r="B76" s="18" t="s">
        <v>163</v>
      </c>
      <c r="C76" s="19" t="s">
        <v>164</v>
      </c>
      <c r="D76" s="20">
        <f ca="1" t="shared" si="5"/>
        <v>8</v>
      </c>
      <c r="E76" s="20">
        <v>22.8</v>
      </c>
      <c r="F76" s="20">
        <v>38.1</v>
      </c>
      <c r="G76" s="21">
        <v>87</v>
      </c>
      <c r="H76" s="20">
        <f ca="1" t="shared" si="6"/>
        <v>2</v>
      </c>
      <c r="I76" s="20">
        <v>10.8</v>
      </c>
      <c r="J76" s="20">
        <v>17.9</v>
      </c>
      <c r="K76" s="21">
        <v>41</v>
      </c>
      <c r="L76" s="20">
        <f ca="1" t="shared" si="7"/>
        <v>20</v>
      </c>
      <c r="M76" s="20">
        <f ca="1" t="shared" si="0"/>
        <v>9</v>
      </c>
      <c r="N76" s="20">
        <v>18.8</v>
      </c>
      <c r="O76" s="21">
        <v>43</v>
      </c>
      <c r="P76" s="20">
        <f ca="1" t="shared" si="1"/>
        <v>13</v>
      </c>
      <c r="Q76" s="20">
        <v>24.7</v>
      </c>
      <c r="R76" s="20">
        <v>41.1</v>
      </c>
      <c r="S76" s="21">
        <v>94</v>
      </c>
      <c r="T76" s="20">
        <f ca="1" t="shared" si="8"/>
        <v>7</v>
      </c>
      <c r="U76" s="20">
        <f ca="1" t="shared" si="9"/>
        <v>18</v>
      </c>
      <c r="V76" s="20">
        <f ca="1" t="shared" si="10"/>
        <v>50</v>
      </c>
      <c r="W76" s="20">
        <f ca="1">T76+U76+V76</f>
        <v>75</v>
      </c>
      <c r="X76" s="20">
        <f ca="1" t="shared" si="12"/>
        <v>8</v>
      </c>
      <c r="Y76" s="20">
        <f ca="1" t="shared" si="13"/>
        <v>18</v>
      </c>
      <c r="Z76" s="20">
        <f ca="1" t="shared" si="14"/>
        <v>8</v>
      </c>
      <c r="AA76" s="20">
        <f ca="1">G76+K76+O76+S76+W76+Z76</f>
        <v>348</v>
      </c>
      <c r="AB76" s="22">
        <f ca="1">((G76/100*10*3)+(K76/100*10*3)+(O76/100*10*3)+(S76/100*10*3)+(W76/100*10*3)+(Z76/50*10*1))/16</f>
        <v>6.475</v>
      </c>
      <c r="AC76" s="23" t="str">
        <f ca="1">IF(OR(G76&lt;40,K76&lt;40,O76&lt;40,S76&lt;40,W76&lt;40,Z76&lt;20),"FAIL","PASS")</f>
        <v>FAIL</v>
      </c>
    </row>
    <row r="77" spans="1:29">
      <c r="A77" s="17">
        <v>71</v>
      </c>
      <c r="B77" s="18" t="s">
        <v>165</v>
      </c>
      <c r="C77" s="19" t="s">
        <v>166</v>
      </c>
      <c r="D77" s="20">
        <f ca="1" t="shared" si="5"/>
        <v>16</v>
      </c>
      <c r="E77" s="20">
        <v>16</v>
      </c>
      <c r="F77" s="20">
        <v>26.7</v>
      </c>
      <c r="G77" s="21">
        <v>61</v>
      </c>
      <c r="H77" s="20">
        <f ca="1" t="shared" si="6"/>
        <v>10</v>
      </c>
      <c r="I77" s="20">
        <v>20.2</v>
      </c>
      <c r="J77" s="20">
        <v>33.7</v>
      </c>
      <c r="K77" s="21">
        <v>77</v>
      </c>
      <c r="L77" s="20">
        <f ca="1" t="shared" si="7"/>
        <v>12</v>
      </c>
      <c r="M77" s="20">
        <f ca="1" t="shared" si="0"/>
        <v>19</v>
      </c>
      <c r="N77" s="20">
        <v>26.7</v>
      </c>
      <c r="O77" s="21">
        <v>61</v>
      </c>
      <c r="P77" s="20">
        <f ca="1" t="shared" si="1"/>
        <v>3</v>
      </c>
      <c r="Q77" s="20">
        <v>18.6</v>
      </c>
      <c r="R77" s="20">
        <v>31.1</v>
      </c>
      <c r="S77" s="21">
        <v>71</v>
      </c>
      <c r="T77" s="20">
        <f ca="1" t="shared" si="8"/>
        <v>1</v>
      </c>
      <c r="U77" s="20">
        <f ca="1" t="shared" si="9"/>
        <v>4</v>
      </c>
      <c r="V77" s="20">
        <f ca="1" t="shared" si="10"/>
        <v>23</v>
      </c>
      <c r="W77" s="20">
        <f ca="1">T77+U77+V77</f>
        <v>28</v>
      </c>
      <c r="X77" s="20">
        <f ca="1" t="shared" si="12"/>
        <v>5</v>
      </c>
      <c r="Y77" s="20">
        <f ca="1" t="shared" si="13"/>
        <v>13</v>
      </c>
      <c r="Z77" s="20">
        <f ca="1" t="shared" si="14"/>
        <v>35</v>
      </c>
      <c r="AA77" s="20">
        <f ca="1">G77+K77+O77+S77+W77+Z77</f>
        <v>333</v>
      </c>
      <c r="AB77" s="22">
        <f ca="1">((G77/100*10*3)+(K77/100*10*3)+(O77/100*10*3)+(S77/100*10*3)+(W77/100*10*3)+(Z77/50*10*1))/16</f>
        <v>6.025</v>
      </c>
      <c r="AC77" s="23" t="str">
        <f ca="1">IF(OR(G77&lt;40,K77&lt;40,O77&lt;40,S77&lt;40,W77&lt;40,Z77&lt;20),"FAIL","PASS")</f>
        <v>FAIL</v>
      </c>
    </row>
    <row r="78" spans="1:29">
      <c r="A78" s="17">
        <v>72</v>
      </c>
      <c r="B78" s="18" t="s">
        <v>167</v>
      </c>
      <c r="C78" s="19" t="s">
        <v>168</v>
      </c>
      <c r="D78" s="20">
        <f ca="1" t="shared" si="5"/>
        <v>4</v>
      </c>
      <c r="E78" s="20">
        <v>16.3</v>
      </c>
      <c r="F78" s="20">
        <v>27.1</v>
      </c>
      <c r="G78" s="21">
        <v>62</v>
      </c>
      <c r="H78" s="20">
        <f ca="1" t="shared" si="6"/>
        <v>7</v>
      </c>
      <c r="I78" s="20">
        <v>19.4</v>
      </c>
      <c r="J78" s="20">
        <v>32.4</v>
      </c>
      <c r="K78" s="21">
        <v>74</v>
      </c>
      <c r="L78" s="20">
        <f ca="1" t="shared" si="7"/>
        <v>1</v>
      </c>
      <c r="M78" s="20">
        <f ca="1" t="shared" si="0"/>
        <v>6</v>
      </c>
      <c r="N78" s="20">
        <v>29.7</v>
      </c>
      <c r="O78" s="21">
        <v>68</v>
      </c>
      <c r="P78" s="20">
        <f ca="1" t="shared" si="1"/>
        <v>14</v>
      </c>
      <c r="Q78" s="20">
        <v>18.6</v>
      </c>
      <c r="R78" s="20">
        <v>31.1</v>
      </c>
      <c r="S78" s="21">
        <v>71</v>
      </c>
      <c r="T78" s="20">
        <f ca="1" t="shared" si="8"/>
        <v>8</v>
      </c>
      <c r="U78" s="20">
        <f ca="1" t="shared" si="9"/>
        <v>3</v>
      </c>
      <c r="V78" s="20">
        <f ca="1" t="shared" si="10"/>
        <v>24</v>
      </c>
      <c r="W78" s="20">
        <f ca="1">T78+U78+V78</f>
        <v>35</v>
      </c>
      <c r="X78" s="20">
        <f ca="1" t="shared" si="12"/>
        <v>19</v>
      </c>
      <c r="Y78" s="20">
        <f ca="1" t="shared" si="13"/>
        <v>22</v>
      </c>
      <c r="Z78" s="20">
        <f ca="1" t="shared" si="14"/>
        <v>9</v>
      </c>
      <c r="AA78" s="20">
        <f ca="1">G78+K78+O78+S78+W78+Z78</f>
        <v>319</v>
      </c>
      <c r="AB78" s="22">
        <f ca="1">((G78/100*10*3)+(K78/100*10*3)+(O78/100*10*3)+(S78/100*10*3)+(W78/100*10*3)+(Z78/50*10*1))/16</f>
        <v>5.925</v>
      </c>
      <c r="AC78" s="23" t="str">
        <f ca="1">IF(OR(G78&lt;40,K78&lt;40,O78&lt;40,S78&lt;40,W78&lt;40,Z78&lt;20),"FAIL","PASS")</f>
        <v>FAIL</v>
      </c>
    </row>
    <row r="79" spans="1:29">
      <c r="A79" s="17">
        <v>73</v>
      </c>
      <c r="B79" s="18" t="s">
        <v>169</v>
      </c>
      <c r="C79" s="19" t="s">
        <v>170</v>
      </c>
      <c r="D79" s="20">
        <f ca="1" t="shared" si="5"/>
        <v>1</v>
      </c>
      <c r="E79" s="20">
        <v>20.2</v>
      </c>
      <c r="F79" s="20">
        <v>33.7</v>
      </c>
      <c r="G79" s="21">
        <v>77</v>
      </c>
      <c r="H79" s="20">
        <f ca="1" t="shared" si="6"/>
        <v>19</v>
      </c>
      <c r="I79" s="20">
        <v>20</v>
      </c>
      <c r="J79" s="20">
        <v>33.2</v>
      </c>
      <c r="K79" s="21">
        <v>76</v>
      </c>
      <c r="L79" s="20">
        <f ca="1" t="shared" si="7"/>
        <v>13</v>
      </c>
      <c r="M79" s="20">
        <f ca="1" t="shared" si="0"/>
        <v>18</v>
      </c>
      <c r="N79" s="20">
        <v>24.9</v>
      </c>
      <c r="O79" s="21">
        <v>57</v>
      </c>
      <c r="P79" s="20">
        <f ca="1" t="shared" si="1"/>
        <v>16</v>
      </c>
      <c r="Q79" s="20">
        <v>13.1</v>
      </c>
      <c r="R79" s="20">
        <v>21.9</v>
      </c>
      <c r="S79" s="21">
        <v>50</v>
      </c>
      <c r="T79" s="20">
        <f ca="1" t="shared" si="8"/>
        <v>9</v>
      </c>
      <c r="U79" s="20">
        <f ca="1" t="shared" si="9"/>
        <v>17</v>
      </c>
      <c r="V79" s="20">
        <f ca="1" t="shared" si="10"/>
        <v>28</v>
      </c>
      <c r="W79" s="20">
        <f ca="1">T79+U79+V79</f>
        <v>54</v>
      </c>
      <c r="X79" s="20">
        <f ca="1" t="shared" si="12"/>
        <v>17</v>
      </c>
      <c r="Y79" s="20">
        <f ca="1" t="shared" si="13"/>
        <v>5</v>
      </c>
      <c r="Z79" s="20">
        <f ca="1" t="shared" si="14"/>
        <v>46</v>
      </c>
      <c r="AA79" s="20">
        <f ca="1">G79+K79+O79+S79+W79+Z79</f>
        <v>360</v>
      </c>
      <c r="AB79" s="22">
        <f ca="1">((G79/100*10*3)+(K79/100*10*3)+(O79/100*10*3)+(S79/100*10*3)+(W79/100*10*3)+(Z79/50*10*1))/16</f>
        <v>6.4625</v>
      </c>
      <c r="AC79" s="23" t="str">
        <f ca="1">IF(OR(G79&lt;40,K79&lt;40,O79&lt;40,S79&lt;40,W79&lt;40,Z79&lt;20),"FAIL","PASS")</f>
        <v>PASS</v>
      </c>
    </row>
    <row r="80" spans="1:29">
      <c r="A80">
        <v>74</v>
      </c>
      <c r="B80" s="18">
        <v>5024052</v>
      </c>
      <c r="C80" s="19" t="s">
        <v>171</v>
      </c>
      <c r="D80" s="20">
        <f ca="1" t="shared" si="5"/>
        <v>13</v>
      </c>
      <c r="E80" s="20">
        <v>21.2</v>
      </c>
      <c r="F80" s="20">
        <v>34.7</v>
      </c>
      <c r="G80" s="21">
        <f ca="1">E80+F80+H80</f>
        <v>60.9</v>
      </c>
      <c r="H80" s="20">
        <f ca="1" t="shared" si="6"/>
        <v>5</v>
      </c>
      <c r="I80" s="20">
        <v>21</v>
      </c>
      <c r="J80" s="20">
        <v>34.2</v>
      </c>
      <c r="K80">
        <f ca="1">H80+I80+J80</f>
        <v>60.2</v>
      </c>
      <c r="L80" s="20">
        <v>17</v>
      </c>
      <c r="M80" s="20">
        <v>30</v>
      </c>
      <c r="N80" s="20">
        <v>25.9</v>
      </c>
      <c r="O80">
        <f>L80+M80+N80</f>
        <v>72.9</v>
      </c>
      <c r="P80" s="20">
        <f ca="1" t="shared" si="1"/>
        <v>18</v>
      </c>
      <c r="Q80" s="20">
        <v>14.1</v>
      </c>
      <c r="R80" s="20">
        <v>22.9</v>
      </c>
      <c r="S80">
        <f ca="1">P80+Q80+R80</f>
        <v>55</v>
      </c>
      <c r="T80">
        <v>19</v>
      </c>
      <c r="U80">
        <v>27</v>
      </c>
      <c r="V80">
        <v>46</v>
      </c>
      <c r="W80">
        <f>T80+U80+V80</f>
        <v>92</v>
      </c>
      <c r="X80">
        <v>23</v>
      </c>
      <c r="Y80">
        <v>24</v>
      </c>
      <c r="Z80">
        <f>+X80+Y80</f>
        <v>47</v>
      </c>
      <c r="AA80" s="20">
        <f ca="1">G80+K80+O80+S80+W80+Z80</f>
        <v>388</v>
      </c>
      <c r="AB80" s="22">
        <f ca="1">((G80/100*10*3)+(K80/100*10*3)+(O80/100*10*3)+(S80/100*10*3)+(W80/100*10*3)+(Z80/50*10*1))/16</f>
        <v>6.98125</v>
      </c>
      <c r="AC80" s="23" t="str">
        <f ca="1">IF(OR(G80&lt;40,K80&lt;40,O80&lt;40,S80&lt;40,W80&lt;40,Z80&lt;20),"FAIL","PASS")</f>
        <v>PASS</v>
      </c>
    </row>
    <row r="100" hidden="1" spans="1:2">
      <c r="A100" t="s">
        <v>172</v>
      </c>
      <c r="B100" t="s">
        <v>173</v>
      </c>
    </row>
    <row r="101" hidden="1" spans="1:2">
      <c r="A101" t="s">
        <v>174</v>
      </c>
      <c r="B101" t="s">
        <v>175</v>
      </c>
    </row>
  </sheetData>
  <mergeCells count="13">
    <mergeCell ref="A2:N2"/>
    <mergeCell ref="D4:G4"/>
    <mergeCell ref="H4:K4"/>
    <mergeCell ref="L4:O4"/>
    <mergeCell ref="P4:S4"/>
    <mergeCell ref="T4:W4"/>
    <mergeCell ref="X4:Z4"/>
    <mergeCell ref="A4:A5"/>
    <mergeCell ref="B4:B5"/>
    <mergeCell ref="C4:C5"/>
    <mergeCell ref="AA4:AA5"/>
    <mergeCell ref="AB4:AB5"/>
    <mergeCell ref="AC4:AC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A1" sqref="A1"/>
    </sheetView>
  </sheetViews>
  <sheetFormatPr defaultColWidth="9" defaultRowHeight="14.5" outlineLevelRow="6"/>
  <cols>
    <col min="1" max="10" width="22" customWidth="1"/>
  </cols>
  <sheetData>
    <row r="1" spans="1:10">
      <c r="A1" s="1" t="s">
        <v>176</v>
      </c>
      <c r="B1" s="1" t="s">
        <v>177</v>
      </c>
      <c r="C1" s="1" t="s">
        <v>178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184</v>
      </c>
      <c r="J1" s="1" t="s">
        <v>185</v>
      </c>
    </row>
    <row r="2" spans="1:10">
      <c r="A2" s="2" t="s">
        <v>186</v>
      </c>
      <c r="B2" s="2" t="s">
        <v>187</v>
      </c>
      <c r="C2" s="2">
        <v>3</v>
      </c>
      <c r="D2" s="2" t="s">
        <v>188</v>
      </c>
      <c r="E2" s="2" t="s">
        <v>189</v>
      </c>
      <c r="F2" s="2" t="s">
        <v>190</v>
      </c>
      <c r="G2" s="2">
        <v>20</v>
      </c>
      <c r="H2" s="2">
        <v>80</v>
      </c>
      <c r="I2" s="2">
        <v>100</v>
      </c>
      <c r="J2" s="2" t="s">
        <v>25</v>
      </c>
    </row>
    <row r="3" spans="1:10">
      <c r="A3" s="2" t="s">
        <v>191</v>
      </c>
      <c r="B3" s="2" t="s">
        <v>192</v>
      </c>
      <c r="C3" s="2">
        <v>3</v>
      </c>
      <c r="D3" s="2" t="s">
        <v>188</v>
      </c>
      <c r="E3" s="2" t="s">
        <v>189</v>
      </c>
      <c r="F3" s="2" t="s">
        <v>190</v>
      </c>
      <c r="G3" s="2">
        <v>20</v>
      </c>
      <c r="H3" s="2">
        <v>80</v>
      </c>
      <c r="I3" s="2">
        <v>100</v>
      </c>
      <c r="J3" s="2" t="s">
        <v>25</v>
      </c>
    </row>
    <row r="4" spans="1:10">
      <c r="A4" s="2" t="s">
        <v>193</v>
      </c>
      <c r="B4" s="2" t="s">
        <v>194</v>
      </c>
      <c r="C4" s="2">
        <v>3</v>
      </c>
      <c r="D4" s="2" t="s">
        <v>188</v>
      </c>
      <c r="E4" s="2" t="s">
        <v>189</v>
      </c>
      <c r="F4" s="2" t="s">
        <v>190</v>
      </c>
      <c r="G4" s="2">
        <v>20</v>
      </c>
      <c r="H4" s="2">
        <v>80</v>
      </c>
      <c r="I4" s="2">
        <v>100</v>
      </c>
      <c r="J4" s="2" t="s">
        <v>25</v>
      </c>
    </row>
    <row r="5" spans="1:10">
      <c r="A5" s="2" t="s">
        <v>195</v>
      </c>
      <c r="B5" s="2" t="s">
        <v>196</v>
      </c>
      <c r="C5" s="2">
        <v>3</v>
      </c>
      <c r="D5" s="2" t="s">
        <v>197</v>
      </c>
      <c r="E5" s="2" t="s">
        <v>189</v>
      </c>
      <c r="F5" s="2" t="s">
        <v>190</v>
      </c>
      <c r="G5" s="2">
        <v>20</v>
      </c>
      <c r="H5" s="2">
        <v>80</v>
      </c>
      <c r="I5" s="2">
        <v>100</v>
      </c>
      <c r="J5" s="2" t="s">
        <v>25</v>
      </c>
    </row>
    <row r="6" spans="1:10">
      <c r="A6" s="2" t="s">
        <v>198</v>
      </c>
      <c r="B6" s="2" t="s">
        <v>199</v>
      </c>
      <c r="C6" s="2">
        <v>3</v>
      </c>
      <c r="D6" s="2" t="s">
        <v>197</v>
      </c>
      <c r="E6" s="2" t="s">
        <v>189</v>
      </c>
      <c r="F6" s="2" t="s">
        <v>190</v>
      </c>
      <c r="G6" s="2">
        <v>20</v>
      </c>
      <c r="H6" s="2">
        <v>80</v>
      </c>
      <c r="I6" s="2">
        <v>100</v>
      </c>
      <c r="J6" s="2" t="s">
        <v>25</v>
      </c>
    </row>
    <row r="7" spans="1:10">
      <c r="A7" s="2" t="s">
        <v>200</v>
      </c>
      <c r="B7" s="2" t="s">
        <v>201</v>
      </c>
      <c r="C7" s="2">
        <v>1</v>
      </c>
      <c r="D7" s="2" t="s">
        <v>202</v>
      </c>
      <c r="E7" s="2" t="s">
        <v>203</v>
      </c>
      <c r="F7" s="2" t="s">
        <v>204</v>
      </c>
      <c r="G7" s="2">
        <v>25</v>
      </c>
      <c r="H7" s="2">
        <v>25</v>
      </c>
      <c r="I7" s="2">
        <v>50</v>
      </c>
      <c r="J7" s="2" t="s">
        <v>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Marks Data</vt:lpstr>
      <vt:lpstr>Subject 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Sharon Shalom</cp:lastModifiedBy>
  <dcterms:created xsi:type="dcterms:W3CDTF">2026-03-27T14:21:00Z</dcterms:created>
  <dcterms:modified xsi:type="dcterms:W3CDTF">2026-03-28T14:33:00Z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9B3232BC090849188086CD207F24D34A_12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